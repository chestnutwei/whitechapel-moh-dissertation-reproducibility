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9.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95c07c77924479f" /></Relationships>
</file>

<file path=xl/workbook.xml><?xml version="1.0" encoding="utf-8"?>
<x:workbook xmlns:x="http://schemas.openxmlformats.org/spreadsheetml/2006/main">
  <x:sheets>
    <x:sheet xmlns:r="http://schemas.openxmlformats.org/officeDocument/2006/relationships" name="Summary" sheetId="1" r:id="Rb20b16f0c1d04789"/>
    <x:sheet xmlns:r="http://schemas.openxmlformats.org/officeDocument/2006/relationships" name="Shortlist" sheetId="2" r:id="Rad24045d459f4ad4"/>
    <x:sheet xmlns:r="http://schemas.openxmlformats.org/officeDocument/2006/relationships" name="Inequality Review" sheetId="3" r:id="R754ba25a259049b7"/>
    <x:sheet xmlns:r="http://schemas.openxmlformats.org/officeDocument/2006/relationships" name="Candidate Pool" sheetId="4" r:id="R21aceefbf51c4cb1"/>
    <x:sheet xmlns:r="http://schemas.openxmlformats.org/officeDocument/2006/relationships" name="Ch4 Excluded" sheetId="5" r:id="R76c8291991d34cb9"/>
    <x:sheet xmlns:r="http://schemas.openxmlformats.org/officeDocument/2006/relationships" name="Final Evidence Set" sheetId="6" r:id="Re814fd29b9b6472c"/>
    <x:sheet xmlns:r="http://schemas.openxmlformats.org/officeDocument/2006/relationships" name="Argument Tests" sheetId="7" r:id="Rb06128823bd14984"/>
    <x:sheet xmlns:r="http://schemas.openxmlformats.org/officeDocument/2006/relationships" name="Selection Balance" sheetId="8" r:id="Ra0b4268e1ed04577"/>
    <x:sheet xmlns:r="http://schemas.openxmlformats.org/officeDocument/2006/relationships" name="Core Quote Verification" sheetId="9" r:id="R6f09b7846ea3481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5">
    <x:font>
      <x:sz val="11"/>
      <x:name val="Carlito"/>
    </x:font>
    <x:font>
      <x:b/>
      <x:sz val="14"/>
      <x:color rgb="FFFFFFFF"/>
      <x:name val="Carlito"/>
    </x:font>
    <x:font>
      <x:b/>
      <x:sz val="11"/>
      <x:color rgb="FFFFFFFF"/>
      <x:name val="Carlito"/>
    </x:font>
    <x:font>
      <x:sz val="11"/>
      <x:color rgb="FF334155"/>
      <x:name val="Carlito"/>
    </x:font>
    <x:font>
      <x:b/>
      <x:sz val="11"/>
      <x:color rgb="FF0F172A"/>
      <x:name val="Carlito"/>
    </x:font>
  </x:fonts>
  <x:fills count="13">
    <x:fill>
      <x:patternFill patternType="none"/>
    </x:fill>
    <x:fill>
      <x:patternFill patternType="gray125"/>
    </x:fill>
    <x:fill>
      <x:patternFill patternType="solid">
        <x:fgColor rgb="FF334155"/>
      </x:patternFill>
    </x:fill>
    <x:fill>
      <x:patternFill patternType="solid">
        <x:fgColor rgb="FF64748B"/>
      </x:patternFill>
    </x:fill>
    <x:fill>
      <x:patternFill patternType="solid">
        <x:fgColor rgb="FFF8FAFC"/>
      </x:patternFill>
    </x:fill>
    <x:fill>
      <x:patternFill patternType="solid">
        <x:fgColor rgb="FFE2E8F0"/>
      </x:patternFill>
    </x:fill>
    <x:fill>
      <x:patternFill patternType="solid">
        <x:fgColor rgb="FF475569"/>
      </x:patternFill>
    </x:fill>
    <x:fill>
      <x:patternFill patternType="solid">
        <x:fgColor rgb="FF334155"/>
      </x:patternFill>
    </x:fill>
    <x:fill>
      <x:patternFill patternType="solid">
        <x:fgColor rgb="FFF8FAFC"/>
      </x:patternFill>
    </x:fill>
    <x:fill>
      <x:patternFill patternType="solid">
        <x:fgColor rgb="FF64748B"/>
      </x:patternFill>
    </x:fill>
    <x:fill>
      <x:patternFill patternType="solid">
        <x:fgColor rgb="FFE2E8F0"/>
      </x:patternFill>
    </x:fill>
    <x:fill>
      <x:patternFill patternType="solid">
        <x:fgColor rgb="FF354760"/>
      </x:patternFill>
    </x:fill>
    <x:fill>
      <x:patternFill patternType="solid">
        <x:fgColor rgb="FF354760"/>
      </x:patternFill>
    </x:fill>
  </x:fills>
  <x:borders count="3">
    <x:border/>
    <x:border/>
    <x:border>
      <x:left style="thin">
        <x:color rgb="FFD8DEE8"/>
      </x:left>
      <x:right style="thin">
        <x:color rgb="FFD8DEE8"/>
      </x:right>
      <x:top style="thin">
        <x:color rgb="FFD8DEE8"/>
      </x:top>
      <x:bottom style="thin">
        <x:color rgb="FFD8DEE8"/>
      </x:bottom>
    </x:border>
  </x:borders>
  <x:cellStyleXfs count="1">
    <x:xf numFmtId="0" fontId="0" fillId="0" borderId="0"/>
  </x:cellStyleXfs>
  <x:cellXfs count="8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1" fillId="2" borderId="0" xfId="0" applyNumberFormat="1" applyFont="1" applyFill="1" applyBorder="1" applyAlignment="1">
      <x:alignment horizontal="left" vertical="center" wrapText="1"/>
    </x:xf>
    <x:xf numFmtId="0" fontId="0" fillId="0"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1" fillId="2" borderId="1"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5" borderId="1" xfId="0" applyNumberFormat="1" applyFont="1" applyFill="1" applyBorder="1" applyAlignment="1">
      <x:alignment vertical="center" wrapText="1"/>
    </x:xf>
    <x:xf numFmtId="0" fontId="1" fillId="2" borderId="0" xfId="0" applyNumberFormat="1" applyFont="1" applyFill="1" applyBorder="1" applyAlignment="1">
      <x:alignment horizontal="lef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wrapText="1"/>
    </x:xf>
    <x:xf numFmtId="0" fontId="1" fillId="2" borderId="1" xfId="0" applyNumberFormat="1" applyFont="1" applyFill="1" applyBorder="1" applyAlignment="1">
      <x:alignment horizontal="left" vertical="top" wrapText="1"/>
    </x:xf>
    <x:xf numFmtId="0" fontId="0" fillId="0" borderId="1"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wrapText="1"/>
    </x:xf>
    <x:xf numFmtId="0" fontId="0" fillId="0" borderId="0" xfId="0" applyNumberFormat="1" applyFont="1" applyFill="1" applyBorder="1"/>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1" fillId="7" borderId="0" xfId="0" applyNumberFormat="1" applyFont="1" applyFill="1" applyBorder="1"/>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top"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2" fillId="9" borderId="0" xfId="0" applyNumberFormat="1" applyFont="1" applyFill="1" applyBorder="1" applyAlignment="1">
      <x:alignment horizontal="center"/>
    </x:xf>
    <x:xf numFmtId="0" fontId="0" fillId="10" borderId="0" xfId="0" applyNumberFormat="1" applyFont="1" applyFill="1" applyBorder="1"/>
    <x:xf numFmtId="0" fontId="4" fillId="10" borderId="0" xfId="0" applyNumberFormat="1" applyFont="1" applyFill="1" applyBorder="1"/>
    <x:xf numFmtId="0" fontId="0" fillId="0" borderId="2" xfId="0" applyNumberFormat="1" applyFont="1" applyFill="1" applyBorder="1" applyAlignment="1">
      <x:alignment vertical="top" wrapText="1"/>
    </x:xf>
    <x:xf numFmtId="0" fontId="0" fillId="11" borderId="2" xfId="0" applyNumberFormat="1" applyFont="1" applyFill="1" applyBorder="1" applyAlignment="1">
      <x:alignment vertical="top" wrapText="1"/>
    </x:xf>
    <x:xf numFmtId="0" fontId="2" fillId="11" borderId="2" xfId="0" applyNumberFormat="1" applyFont="1" applyFill="1" applyBorder="1" applyAlignment="1">
      <x:alignment vertical="top" wrapText="1"/>
    </x:xf>
    <x:xf numFmtId="0" fontId="2" fillId="11" borderId="2" xfId="0" applyNumberFormat="1" applyFont="1" applyFill="1" applyBorder="1" applyAlignment="1">
      <x:alignment horizontal="center" vertical="top" wrapText="1"/>
    </x:xf>
    <x:xf numFmtId="200" fontId="0" fillId="0" borderId="2" xfId="0" applyNumberFormat="1" applyFont="1" applyFill="1" applyBorder="1" applyAlignment="1">
      <x:alignment vertical="top" wrapText="1"/>
    </x:xf>
    <x:xf numFmtId="201" fontId="0" fillId="0" borderId="2" xfId="0" applyNumberFormat="1" applyFont="1" applyFill="1" applyBorder="1" applyAlignment="1">
      <x:alignment vertical="top" wrapText="1"/>
    </x:xf>
    <x:xf numFmtId="0" fontId="0" fillId="12" borderId="2" xfId="0" applyNumberFormat="1" applyFont="1" applyFill="1" applyBorder="1" applyAlignment="1">
      <x:alignment vertical="top" wrapText="1"/>
    </x:xf>
    <x:xf numFmtId="0" fontId="2" fillId="12" borderId="2" xfId="0" applyNumberFormat="1" applyFont="1" applyFill="1" applyBorder="1" applyAlignment="1">
      <x:alignment vertical="top" wrapText="1"/>
    </x:xf>
    <x:xf numFmtId="0" fontId="2" fillId="12" borderId="2" xfId="0" applyNumberFormat="1" applyFont="1" applyFill="1" applyBorder="1" applyAlignment="1">
      <x:alignment horizontal="center" vertical="top" wrapText="1"/>
    </x:xf>
  </x:cellXfs>
  <x:cellStyles count="1">
    <x:cellStyle name="Normal" xfId="0"/>
  </x:cellStyles>
  <x:dxfs count="9">
    <x:dxf>
      <x:font>
        <x:b/>
      </x:font>
      <x:fill>
        <x:patternFill>
          <x:bgColor rgb="FFDCFCE7"/>
        </x:patternFill>
      </x:fill>
    </x:dxf>
    <x:dxf>
      <x:fill>
        <x:patternFill>
          <x:bgColor rgb="FFFEF3C7"/>
        </x:patternFill>
      </x:fill>
    </x:dxf>
    <x:dxf>
      <x:font>
        <x:b/>
        <x:color rgb="FF166534"/>
      </x:font>
      <x:fill>
        <x:patternFill>
          <x:bgColor rgb="FFDCFCE7"/>
        </x:patternFill>
      </x:fill>
    </x:dxf>
    <x:dxf>
      <x:font>
        <x:b/>
        <x:color rgb="FF1E3A8A"/>
      </x:font>
      <x:fill>
        <x:patternFill>
          <x:bgColor rgb="FFDBEAFE"/>
        </x:patternFill>
      </x:fill>
    </x:dxf>
    <x:dxf>
      <x:font>
        <x:b/>
        <x:color rgb="FF991B1B"/>
      </x:font>
      <x:fill>
        <x:patternFill>
          <x:bgColor rgb="FFFEE2E2"/>
        </x:patternFill>
      </x:fill>
    </x:dxf>
    <x:dxf>
      <x:font>
        <x:b/>
        <x:color rgb="FF166534"/>
      </x:font>
      <x:fill>
        <x:patternFill>
          <x:bgColor rgb="FFDCFCE7"/>
        </x:patternFill>
      </x:fill>
    </x:dxf>
    <x:dxf>
      <x:font>
        <x:b/>
        <x:color rgb="FF1E3A8A"/>
      </x:font>
      <x:fill>
        <x:patternFill>
          <x:bgColor rgb="FFDBEAFE"/>
        </x:patternFill>
      </x:fill>
    </x:dxf>
    <x:dxf>
      <x:font>
        <x:b/>
        <x:color rgb="FF92400E"/>
      </x:font>
      <x:fill>
        <x:patternFill>
          <x:bgColor rgb="FFFEF3C7"/>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9221bacf314f0b" /><Relationship Type="http://schemas.openxmlformats.org/officeDocument/2006/relationships/theme" Target="/xl/theme/theme1.xml" Id="Rf4632d5ce5954c2e" /><Relationship Type="http://schemas.openxmlformats.org/officeDocument/2006/relationships/sharedStrings" Target="/xl/sharedStrings.xml" Id="R4d37ee14194a4e12" /><Relationship Type="http://schemas.openxmlformats.org/officeDocument/2006/relationships/worksheet" Target="/xl/worksheets/sheet1.xml" Id="Rb20b16f0c1d04789" /><Relationship Type="http://schemas.openxmlformats.org/officeDocument/2006/relationships/worksheet" Target="/xl/worksheets/sheet2.xml" Id="Rad24045d459f4ad4" /><Relationship Type="http://schemas.openxmlformats.org/officeDocument/2006/relationships/worksheet" Target="/xl/worksheets/sheet3.xml" Id="R754ba25a259049b7" /><Relationship Type="http://schemas.openxmlformats.org/officeDocument/2006/relationships/worksheet" Target="/xl/worksheets/sheet4.xml" Id="R21aceefbf51c4cb1" /><Relationship Type="http://schemas.openxmlformats.org/officeDocument/2006/relationships/worksheet" Target="/xl/worksheets/sheet5.xml" Id="R76c8291991d34cb9" /><Relationship Type="http://schemas.openxmlformats.org/officeDocument/2006/relationships/worksheet" Target="/xl/worksheets/sheet6.xml" Id="Re814fd29b9b6472c" /><Relationship Type="http://schemas.openxmlformats.org/officeDocument/2006/relationships/worksheet" Target="/xl/worksheets/sheet7.xml" Id="Rb06128823bd14984" /><Relationship Type="http://schemas.openxmlformats.org/officeDocument/2006/relationships/worksheet" Target="/xl/worksheets/sheet8.xml" Id="Ra0b4268e1ed04577" /><Relationship Type="http://schemas.openxmlformats.org/officeDocument/2006/relationships/worksheet" Target="/xl/worksheets/sheet9.xml" Id="R6f09b7846ea34819" /></Relationships>
</file>

<file path=xl/drawings/_rels/drawing1.xml.rels>&#65279;<?xml version="1.0" encoding="utf-8"?><Relationships xmlns="http://schemas.openxmlformats.org/package/2006/relationships"><Relationship Type="http://schemas.openxmlformats.org/officeDocument/2006/relationships/chart" Target="/xl/drawings/charts/chart1.xml" Id="R3afc8fb0e8ba40c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Core and supporting passages by section</a:t>
            </a:r>
          </a:p>
        </c:rich>
      </c:tx>
    </c:title>
    <c:autoTitleDeleted val="0"/>
    <c:plotArea>
      <c:barChart>
        <c:barDir val="col"/>
        <c:varyColors val="0"/>
        <c:ser>
          <c:idx val="0"/>
          <c:order val="0"/>
          <c:tx>
            <c:v>Core</c:v>
          </c:tx>
          <c:cat>
            <c:strRef>
              <c:f>'Selection Balance'!$A$4:$A$7</c:f>
              <c:strCache>
                <c:ptCount val="0"/>
              </c:strCache>
            </c:strRef>
          </c:cat>
          <c:val>
            <c:numRef>
              <c:f>'Selection Balance'!$B$4:$B$7</c:f>
              <c:numCache>
                <c:formatCode>General</c:formatCode>
                <c:ptCount val="0"/>
              </c:numCache>
            </c:numRef>
          </c:val>
        </c:ser>
        <c:ser>
          <c:idx val="1"/>
          <c:order val="1"/>
          <c:tx>
            <c:v>Supporting</c:v>
          </c:tx>
          <c:cat>
            <c:strRef>
              <c:f>'Selection Balance'!$A$4:$A$7</c:f>
              <c:strCache>
                <c:ptCount val="0"/>
              </c:strCache>
            </c:strRef>
          </c:cat>
          <c:val>
            <c:numRef>
              <c:f>'Selection Balance'!$C$4:$C$7</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9</xdr:row>
      <xdr:rowOff>0</xdr:rowOff>
    </xdr:from>
    <xdr:to>
      <xdr:col>10</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afc8fb0e8ba40ca"/>
        </a:graphicData>
      </a:graphic>
    </xdr:graphicFrame>
    <xdr:clientData/>
  </xdr:twoCellAnchor>
</xdr:wsDr>
</file>

<file path=xl/tables/table1.xml><?xml version="1.0" encoding="utf-8"?>
<x:table xmlns:x="http://schemas.openxmlformats.org/spreadsheetml/2006/main" id="1" name="ShortlistTable" displayName="ShortlistTable" ref="A1:S25" headerRowCount="1">
  <x:tableColumns count="19">
    <x:tableColumn id="1" name="Passage ID"/>
    <x:tableColumn id="2" name="Report Year"/>
    <x:tableColumn id="3" name="Publication Year"/>
    <x:tableColumn id="4" name="Retrieval Categories"/>
    <x:tableColumn id="5" name="Matched Terms"/>
    <x:tableColumn id="6" name="Selection Source"/>
    <x:tableColumn id="7" name="Proposed Section"/>
    <x:tableColumn id="8" name="Preliminary Inequality Signal"/>
    <x:tableColumn id="9" name="Priority"/>
    <x:tableColumn id="10" name="Counterevidence / Complication"/>
    <x:tableColumn id="11" name="Document Form"/>
    <x:tableColumn id="12" name="Place Reference"/>
    <x:tableColumn id="13" name="Social Language Detected"/>
    <x:tableColumn id="14" name="Material Conditions Detected"/>
    <x:tableColumn id="15" name="Analytical Value / Selection Reason"/>
    <x:tableColumn id="16" name="OCR Checked"/>
    <x:tableColumn id="17" name="Printed Page"/>
    <x:tableColumn id="18" name="Source URL"/>
    <x:tableColumn id="19" name="Passage Text"/>
  </x:tableColumns>
  <x:tableStyleInfo name="TableStyleMedium2" showRowStripes="1"/>
</x:table>
</file>

<file path=xl/tables/table2.xml><?xml version="1.0" encoding="utf-8"?>
<x:table xmlns:x="http://schemas.openxmlformats.org/spreadsheetml/2006/main" id="2" name="InequalityReviewTable" displayName="InequalityReviewTable" ref="A1:N43" headerRowCount="1" totalsRowCount="0">
  <x:tableColumns count="14">
    <x:tableColumn id="1" name="Passage ID"/>
    <x:tableColumn id="2" name="Report Year"/>
    <x:tableColumn id="3" name="Publication Year"/>
    <x:tableColumn id="4" name="Detection Source"/>
    <x:tableColumn id="5" name="Automated Retrieval Categories"/>
    <x:tableColumn id="6" name="Automated Matched Terms"/>
    <x:tableColumn id="7" name="Supplementary Terms"/>
    <x:tableColumn id="8" name="Preliminary Signal"/>
    <x:tableColumn id="9" name="Social Language Detected"/>
    <x:tableColumn id="10" name="Material Conditions Detected"/>
    <x:tableColumn id="11" name="Shortlisted"/>
    <x:tableColumn id="12" name="OCR Checked"/>
    <x:tableColumn id="13" name="Source URL"/>
    <x:tableColumn id="14" name="Passage Text"/>
  </x:tableColumns>
  <x:tableStyleInfo name="TableStyleMedium2" showRowStripes="1"/>
</x:table>
</file>

<file path=xl/tables/table3.xml><?xml version="1.0" encoding="utf-8"?>
<x:table xmlns:x="http://schemas.openxmlformats.org/spreadsheetml/2006/main" id="3" name="CandidatePoolTable" displayName="CandidatePoolTable" ref="A1:L196" headerRowCount="1">
  <x:tableColumns count="12">
    <x:tableColumn id="1" name="Passage ID"/>
    <x:tableColumn id="2" name="Report Year"/>
    <x:tableColumn id="3" name="Publication Year"/>
    <x:tableColumn id="4" name="Retrieval Categories"/>
    <x:tableColumn id="5" name="Matched Terms"/>
    <x:tableColumn id="6" name="Inequality Auto-Tagged"/>
    <x:tableColumn id="7" name="Supplementary Social Scan"/>
    <x:tableColumn id="8" name="Shortlisted"/>
    <x:tableColumn id="9" name="Place Reference"/>
    <x:tableColumn id="10" name="Source URL"/>
    <x:tableColumn id="11" name="Source File"/>
    <x:tableColumn id="12" name="Passage Text"/>
  </x:tableColumns>
  <x:tableStyleInfo name="TableStyleMedium2" showRowStripes="1"/>
</x:table>
</file>

<file path=xl/tables/table4.xml><?xml version="1.0" encoding="utf-8"?>
<x:table xmlns:x="http://schemas.openxmlformats.org/spreadsheetml/2006/main" id="4" name="Chapter4ExcludedTable" displayName="Chapter4ExcludedTable" ref="A1:H7" headerRowCount="1">
  <x:tableColumns count="8">
    <x:tableColumn id="1" name="Passage ID"/>
    <x:tableColumn id="2" name="Report Year"/>
    <x:tableColumn id="3" name="Publication Year"/>
    <x:tableColumn id="4" name="Reason for Exclusion"/>
    <x:tableColumn id="5" name="Retrieval Categories"/>
    <x:tableColumn id="6" name="Matched Terms"/>
    <x:tableColumn id="7" name="Source URL"/>
    <x:tableColumn id="8" name="Passage Text"/>
  </x:tableColumns>
  <x:tableStyleInfo name="TableStyleMedium2" showRowStripes="1"/>
</x:table>
</file>

<file path=xl/tables/table5.xml><?xml version="1.0" encoding="utf-8"?>
<x:table xmlns:x="http://schemas.openxmlformats.org/spreadsheetml/2006/main" id="5" name="FinalEvidenceTable" displayName="FinalEvidenceTable" ref="A1:P24" headerRowCount="1">
  <x:tableColumns count="16">
    <x:tableColumn id="1" name="Status"/>
    <x:tableColumn id="2" name="Passage ID"/>
    <x:tableColumn id="3" name="Report Year"/>
    <x:tableColumn id="4" name="Publication Year"/>
    <x:tableColumn id="5" name="Proposed Section"/>
    <x:tableColumn id="6" name="Printed Page(s)"/>
    <x:tableColumn id="7" name="Key Quote Page"/>
    <x:tableColumn id="8" name="Inequality / Social Signal"/>
    <x:tableColumn id="9" name="Retrieval Categories"/>
    <x:tableColumn id="10" name="Matched Terms"/>
    <x:tableColumn id="11" name="Counterevidence / Complication"/>
    <x:tableColumn id="12" name="Analytical Function"/>
    <x:tableColumn id="13" name="Recommended Use"/>
    <x:tableColumn id="14" name="Place Reference"/>
    <x:tableColumn id="15" name="Source URL"/>
    <x:tableColumn id="16" name="Passage Text"/>
  </x:tableColumns>
  <x:tableStyleInfo name="TableStyleMedium2" showRowStripes="1"/>
</x:table>
</file>

<file path=xl/tables/table6.xml><?xml version="1.0" encoding="utf-8"?>
<x:table xmlns:x="http://schemas.openxmlformats.org/spreadsheetml/2006/main" id="6" name="ArgumentTestsTable" displayName="ArgumentTestsTable" ref="A7:J22" headerRowCount="1">
  <x:tableColumns count="10">
    <x:tableColumn id="1" name="Passage ID"/>
    <x:tableColumn id="2" name="Report Year"/>
    <x:tableColumn id="3" name="Section"/>
    <x:tableColumn id="4" name="Signal"/>
    <x:tableColumn id="5" name="Test A: explicit language scarce"/>
    <x:tableColumn id="6" name="Test B: embedded in material language"/>
    <x:tableColumn id="7" name="Test C: varies by context"/>
    <x:tableColumn id="8" name="Interpretive Note"/>
    <x:tableColumn id="9" name="Scan Verification"/>
    <x:tableColumn id="10" name="Final Coding Decision"/>
  </x:tableColumns>
  <x:tableStyleInfo name="TableStyleMedium2" showRowStripes="1"/>
</x:table>
</file>

<file path=xl/tables/table7.xml><?xml version="1.0" encoding="utf-8"?>
<x:table xmlns:x="http://schemas.openxmlformats.org/spreadsheetml/2006/main" id="7" name="CoreQuoteVerificationTable" displayName="CoreQuoteVerificationTable" ref="A1:L16" headerRowCount="1" totalsRowCount="0" totalsRowShown="0">
  <x:autoFilter ref="A1:L16"/>
  <x:tableColumns count="12">
    <x:tableColumn id="1" name="Passage ID"/>
    <x:tableColumn id="2" name="Section"/>
    <x:tableColumn id="3" name="Report Year"/>
    <x:tableColumn id="4" name="Printed Page(s)"/>
    <x:tableColumn id="5" name="Key Quote Page"/>
    <x:tableColumn id="6" name="Scan Status"/>
    <x:tableColumn id="7" name="Verified Quotation-Ready Excerpt(s)"/>
    <x:tableColumn id="8" name="OCR / Page Correction Note"/>
    <x:tableColumn id="9" name="Analytical Use"/>
    <x:tableColumn id="10" name="Source URL"/>
    <x:tableColumn id="11" name="Page Viewer URL"/>
    <x:tableColumn id="12" name="Check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9e55122367a45fb" /></Relationships>
</file>

<file path=xl/worksheets/_rels/sheet3.xml.rels>&#65279;<?xml version="1.0" encoding="utf-8"?><Relationships xmlns="http://schemas.openxmlformats.org/package/2006/relationships"><Relationship Type="http://schemas.openxmlformats.org/officeDocument/2006/relationships/table" Target="/xl/tables/table2.xml" Id="Re75698f2b3394efd" /></Relationships>
</file>

<file path=xl/worksheets/_rels/sheet4.xml.rels>&#65279;<?xml version="1.0" encoding="utf-8"?><Relationships xmlns="http://schemas.openxmlformats.org/package/2006/relationships"><Relationship Type="http://schemas.openxmlformats.org/officeDocument/2006/relationships/table" Target="/xl/tables/table3.xml" Id="Rea78de3078814e81" /></Relationships>
</file>

<file path=xl/worksheets/_rels/sheet5.xml.rels>&#65279;<?xml version="1.0" encoding="utf-8"?><Relationships xmlns="http://schemas.openxmlformats.org/package/2006/relationships"><Relationship Type="http://schemas.openxmlformats.org/officeDocument/2006/relationships/table" Target="/xl/tables/table4.xml" Id="R255c86d7511a45ed" /></Relationships>
</file>

<file path=xl/worksheets/_rels/sheet6.xml.rels>&#65279;<?xml version="1.0" encoding="utf-8"?><Relationships xmlns="http://schemas.openxmlformats.org/package/2006/relationships"><Relationship Type="http://schemas.openxmlformats.org/officeDocument/2006/relationships/table" Target="/xl/tables/table5.xml" Id="Rf0ac2420c5b84829" /></Relationships>
</file>

<file path=xl/worksheets/_rels/sheet7.xml.rels>&#65279;<?xml version="1.0" encoding="utf-8"?><Relationships xmlns="http://schemas.openxmlformats.org/package/2006/relationships"><Relationship Type="http://schemas.openxmlformats.org/officeDocument/2006/relationships/table" Target="/xl/tables/table6.xml" Id="R23cb2828f8054d5a" /></Relationships>
</file>

<file path=xl/worksheets/_rels/sheet8.xml.rels>&#65279;<?xml version="1.0" encoding="utf-8"?><Relationships xmlns="http://schemas.openxmlformats.org/package/2006/relationships"><Relationship Type="http://schemas.openxmlformats.org/officeDocument/2006/relationships/drawing" Target="/xl/drawings/drawing1.xml" Id="Ra831aedcc4c64b79" /></Relationships>
</file>

<file path=xl/worksheets/_rels/sheet9.xml.rels>&#65279;<?xml version="1.0" encoding="utf-8"?><Relationships xmlns="http://schemas.openxmlformats.org/package/2006/relationships"><Relationship Type="http://schemas.openxmlformats.org/officeDocument/2006/relationships/table" Target="/xl/tables/table7.xml" Id="R30af412f923c4fc4" /></Relationships>
</file>

<file path=xl/worksheets/sheet1.xml><?xml version="1.0" encoding="utf-8"?>
<x:worksheet xmlns:x="http://schemas.openxmlformats.org/spreadsheetml/2006/main">
  <x:sheetFormatPr defaultRowHeight="15"/>
  <x:cols>
    <x:col min="1" max="1" width="44" hidden="0" customWidth="1"/>
    <x:col min="2" max="2" width="15" hidden="0" customWidth="1"/>
    <x:col min="3" max="3" width="4" hidden="0" customWidth="1"/>
    <x:col min="4" max="4" width="17" hidden="0" customWidth="1"/>
    <x:col min="5" max="5" width="17" hidden="0" customWidth="1"/>
    <x:col min="6" max="6" width="17" hidden="0" customWidth="1"/>
    <x:col min="7" max="7" width="17" hidden="0" customWidth="1"/>
    <x:col min="8" max="8" width="17" hidden="0" customWidth="1"/>
  </x:cols>
  <x:sheetData>
    <x:row r="1">
      <x:c r="A1" s="40" t="str">
        <x:v>Chapter 5 Evidence Table — Second-Round Review (Dictionary-Synchronised; Core Quotes Verified)</x:v>
      </x:c>
      <x:c r="B1" s="40"/>
      <x:c r="C1" s="40"/>
      <x:c r="D1" s="40"/>
      <x:c r="E1" s="40"/>
      <x:c r="F1" s="40"/>
      <x:c r="G1" s="40"/>
      <x:c r="H1" s="40"/>
    </x:row>
    <x:row r="2">
      <x:c r="A2" s="41"/>
      <x:c r="B2" s="41"/>
      <x:c r="C2" s="41"/>
      <x:c r="D2" s="41"/>
      <x:c r="E2" s="41"/>
      <x:c r="F2" s="41"/>
      <x:c r="G2" s="41"/>
      <x:c r="H2" s="41"/>
    </x:row>
    <x:row r="3">
      <x:c r="A3" s="42" t="str">
        <x:v>Metric</x:v>
      </x:c>
      <x:c r="B3" s="42" t="str">
        <x:v>Value</x:v>
      </x:c>
      <x:c r="C3" s="41"/>
      <x:c r="D3" s="42" t="str">
        <x:v>Current methodological decisions</x:v>
      </x:c>
      <x:c r="E3" s="42" t="str"/>
      <x:c r="F3" s="42" t="str"/>
      <x:c r="G3" s="42" t="str"/>
      <x:c r="H3" s="42" t="str"/>
    </x:row>
    <x:row r="4">
      <x:c r="A4" s="41" t="str">
        <x:v>Source candidate rows</x:v>
      </x:c>
      <x:c r="B4" s="41" t="n">
        <x:v>764</x:v>
      </x:c>
      <x:c r="C4" s="41"/>
      <x:c r="D4" s="23" t="str">
        <x:v>• Passage-level selection merges duplicate term hits by passage_id.
• The six specific Chapter 4 passages are excluded; other passages from the same years remain eligible.
• Candidate counts are not treated as measures of thematic importance.
• Inequality receives a protected review quota rather than proportional sampling.
• All 15 core passages have been checked against the original page images.
• Two supplementary passages with ethnic or national labels remain manually coded because those labels are not automatic inequality terms.</x:v>
      </x:c>
      <x:c r="E4" s="23"/>
      <x:c r="F4" s="23"/>
      <x:c r="G4" s="23"/>
      <x:c r="H4" s="23"/>
    </x:row>
    <x:row r="5">
      <x:c r="A5" s="41" t="str">
        <x:v>Unique passages in final candidates</x:v>
      </x:c>
      <x:c r="B5" s="41" t="n">
        <x:v>246</x:v>
      </x:c>
      <x:c r="C5" s="41"/>
      <x:c r="D5" s="23"/>
      <x:c r="E5" s="23"/>
      <x:c r="F5" s="23"/>
      <x:c r="G5" s="23"/>
      <x:c r="H5" s="23"/>
    </x:row>
    <x:row r="6">
      <x:c r="A6" s="41" t="str">
        <x:v>Sanitary/housing/inequality pool after Ch.4 exclusion</x:v>
      </x:c>
      <x:c r="B6" s="41" t="n">
        <x:v>195</x:v>
      </x:c>
      <x:c r="C6" s="41"/>
      <x:c r="D6" s="23"/>
      <x:c r="E6" s="23"/>
      <x:c r="F6" s="23"/>
      <x:c r="G6" s="23"/>
      <x:c r="H6" s="23"/>
    </x:row>
    <x:row r="7">
      <x:c r="A7" s="41" t="str">
        <x:v>First-round shortlist</x:v>
      </x:c>
      <x:c r="B7" s="41" t="n">
        <x:v>24</x:v>
      </x:c>
      <x:c r="C7" s="41"/>
      <x:c r="D7" s="23"/>
      <x:c r="E7" s="23"/>
      <x:c r="F7" s="23"/>
      <x:c r="G7" s="23"/>
      <x:c r="H7" s="23"/>
    </x:row>
    <x:row r="8">
      <x:c r="A8" s="41" t="str">
        <x:v>Second-round final evidence set</x:v>
      </x:c>
      <x:c r="B8" s="41" t="n">
        <x:v>23</x:v>
      </x:c>
      <x:c r="C8" s="41"/>
      <x:c r="D8" s="23"/>
      <x:c r="E8" s="23"/>
      <x:c r="F8" s="23"/>
      <x:c r="G8" s="23"/>
      <x:c r="H8" s="23"/>
    </x:row>
    <x:row r="9">
      <x:c r="A9" s="41" t="str">
        <x:v>Automated inequality passages after Ch.4 exclusion</x:v>
      </x:c>
      <x:c r="B9" s="41" t="n">
        <x:v>40</x:v>
      </x:c>
      <x:c r="C9" s="41"/>
      <x:c r="D9" s="23"/>
      <x:c r="E9" s="23"/>
      <x:c r="F9" s="23"/>
      <x:c r="G9" s="23"/>
      <x:c r="H9" s="23"/>
    </x:row>
    <x:row r="10">
      <x:c r="A10" s="41" t="str">
        <x:v>Supplementary manual social-language passages retained</x:v>
      </x:c>
      <x:c r="B10" s="41" t="n">
        <x:v>2</x:v>
      </x:c>
      <x:c r="C10" s="41"/>
      <x:c r="D10" s="41"/>
      <x:c r="E10" s="41"/>
      <x:c r="F10" s="41"/>
      <x:c r="G10" s="41"/>
      <x:c r="H10" s="41"/>
    </x:row>
    <x:row r="11">
      <x:c r="A11" s="41" t="str">
        <x:v>Chapter 4 passages excluded</x:v>
      </x:c>
      <x:c r="B11" s="41" t="n">
        <x:v>6</x:v>
      </x:c>
      <x:c r="C11" s="41"/>
      <x:c r="D11" s="41"/>
      <x:c r="E11" s="41"/>
      <x:c r="F11" s="41"/>
      <x:c r="G11" s="41"/>
      <x:c r="H11" s="41"/>
    </x:row>
    <x:row r="12">
      <x:c r="A12" s="43" t="str">
        <x:v>Important lexicon finding</x:v>
      </x:c>
      <x:c r="B12" s="43"/>
      <x:c r="C12" s="43"/>
      <x:c r="D12" s="43"/>
      <x:c r="E12" s="43"/>
      <x:c r="F12" s="43"/>
      <x:c r="G12" s="43"/>
      <x:c r="H12" s="43"/>
    </x:row>
    <x:row r="13">
      <x:c r="A13" s="23" t="str">
        <x:v>The automated inequality category now uses ten terms: working classes, working class, poor, poorer, poorest, poverty, destitute, lodgers, lodging-houses and infirmary. Dictionary synchronisation added five candidate records while leaving the total at 246 distinct candidate passages. Ethnic and national labels such as 'immigrant foreigners' and 'foreign population' remain manual qualitative codes rather than automatic inequality terms.</x:v>
      </x:c>
      <x:c r="B13" s="23"/>
      <x:c r="C13" s="23"/>
      <x:c r="D13" s="23"/>
      <x:c r="E13" s="23"/>
      <x:c r="F13" s="23"/>
      <x:c r="G13" s="23"/>
      <x:c r="H13" s="23"/>
    </x:row>
    <x:row r="14">
      <x:c r="A14" s="23"/>
      <x:c r="B14" s="23"/>
      <x:c r="C14" s="23"/>
      <x:c r="D14" s="23"/>
      <x:c r="E14" s="23"/>
      <x:c r="F14" s="23"/>
      <x:c r="G14" s="23"/>
      <x:c r="H14" s="23"/>
    </x:row>
    <x:row r="15">
      <x:c r="A15" s="23"/>
      <x:c r="B15" s="23"/>
      <x:c r="C15" s="23"/>
      <x:c r="D15" s="23"/>
      <x:c r="E15" s="23"/>
      <x:c r="F15" s="23"/>
      <x:c r="G15" s="23"/>
      <x:c r="H15" s="23"/>
    </x:row>
    <x:row r="16">
      <x:c r="A16" s="23"/>
      <x:c r="B16" s="23"/>
      <x:c r="C16" s="23"/>
      <x:c r="D16" s="23"/>
      <x:c r="E16" s="23"/>
      <x:c r="F16" s="23"/>
      <x:c r="G16" s="23"/>
      <x:c r="H16" s="23"/>
    </x:row>
    <x:row r="17">
      <x:c r="A17" s="41"/>
      <x:c r="B17" s="41"/>
      <x:c r="C17" s="41"/>
      <x:c r="D17" s="41"/>
      <x:c r="E17" s="41"/>
      <x:c r="F17" s="41"/>
      <x:c r="G17" s="41"/>
      <x:c r="H17" s="41"/>
    </x:row>
    <x:row r="18">
      <x:c r="A18" s="43" t="str">
        <x:v>Next step</x:v>
      </x:c>
      <x:c r="B18" s="43"/>
      <x:c r="C18" s="43"/>
      <x:c r="D18" s="43"/>
      <x:c r="E18" s="43"/>
      <x:c r="F18" s="43"/>
      <x:c r="G18" s="43"/>
      <x:c r="H18" s="43"/>
    </x:row>
    <x:row r="19">
      <x:c r="A19" s="23" t="str">
        <x:v>All 15 core passages have now been checked against the original page images and quotation-ready excerpts are recorded in the Core Quote Verification sheet. One page reference was corrected: 1894_0014 spans pages 9–10 and its key quotation is on page 9. The next step is to draft Chapter 5; supporting passages should be used for corroboration, complication or counterevidence.</x:v>
      </x:c>
      <x:c r="B19" s="23"/>
      <x:c r="C19" s="23"/>
      <x:c r="D19" s="23"/>
      <x:c r="E19" s="23"/>
      <x:c r="F19" s="23"/>
      <x:c r="G19" s="23"/>
      <x:c r="H19" s="23"/>
    </x:row>
    <x:row r="20">
      <x:c r="A20" s="23"/>
      <x:c r="B20" s="23"/>
      <x:c r="C20" s="23"/>
      <x:c r="D20" s="23"/>
      <x:c r="E20" s="23"/>
      <x:c r="F20" s="23"/>
      <x:c r="G20" s="23"/>
      <x:c r="H20" s="23"/>
    </x:row>
    <x:row r="21">
      <x:c r="A21" s="23"/>
      <x:c r="B21" s="23"/>
      <x:c r="C21" s="23"/>
      <x:c r="D21" s="23"/>
      <x:c r="E21" s="23"/>
      <x:c r="F21" s="23"/>
      <x:c r="G21" s="23"/>
      <x:c r="H21" s="23"/>
    </x:row>
  </x:sheetData>
  <x:mergeCells>
    <x:mergeCell ref="A1:H1"/>
    <x:mergeCell ref="D3:H3"/>
    <x:mergeCell ref="D4:H9"/>
    <x:mergeCell ref="A12:H12"/>
    <x:mergeCell ref="A13:H16"/>
    <x:mergeCell ref="A18:H18"/>
    <x:mergeCell ref="A19:H21"/>
  </x:mergeCells>
  <x:pageMargins left="0.7" right="0.7" top="0.75" bottom="0.75" header="0.3" footer="0.3"/>
</x:worksheet>
</file>

<file path=xl/worksheets/sheet2.xml><?xml version="1.0" encoding="utf-8"?>
<x:worksheet xmlns:x="http://schemas.openxmlformats.org/spreadsheetml/2006/main">
  <x:sheetFormatPr defaultRowHeight="15"/>
  <x:cols>
    <x:col min="1" max="1" width="15" hidden="0" customWidth="1"/>
    <x:col min="2" max="2" width="12" hidden="0" customWidth="1"/>
    <x:col min="3" max="3" width="12" hidden="0" customWidth="1"/>
    <x:col min="4" max="4" width="28" hidden="0" customWidth="1"/>
    <x:col min="5" max="5" width="28" hidden="0" customWidth="1"/>
    <x:col min="6" max="6" width="25" hidden="0" customWidth="1"/>
    <x:col min="7" max="7" width="32" hidden="0" customWidth="1"/>
    <x:col min="8" max="8" width="24" hidden="0" customWidth="1"/>
    <x:col min="9" max="9" width="18" hidden="0" customWidth="1"/>
    <x:col min="10" max="10" width="18" hidden="0" customWidth="1"/>
    <x:col min="11" max="11" width="28" hidden="0" customWidth="1"/>
    <x:col min="12" max="12" width="28" hidden="0" customWidth="1"/>
    <x:col min="13" max="13" width="28" hidden="0" customWidth="1"/>
    <x:col min="14" max="14" width="28" hidden="0" customWidth="1"/>
    <x:col min="15" max="15" width="44" hidden="0" customWidth="1"/>
    <x:col min="16" max="16" width="14" hidden="0" customWidth="1"/>
    <x:col min="17" max="17" width="14" hidden="0" customWidth="1"/>
    <x:col min="18" max="18" width="45" hidden="0" customWidth="1"/>
    <x:col min="19" max="19" width="85" hidden="0" customWidth="1"/>
    <x:col min="20" max="20" width="14" hidden="0" customWidth="1"/>
    <x:col min="21" max="21" width="46" hidden="0" customWidth="1"/>
    <x:col min="22" max="22" width="16" hidden="0" customWidth="1"/>
    <x:col min="23" max="23" width="42" hidden="0" customWidth="1"/>
    <x:col min="24" max="24" width="15" hidden="0" customWidth="1"/>
    <x:col min="25" max="25" width="44" hidden="0" customWidth="1"/>
  </x:cols>
  <x:sheetData>
    <x:row r="1">
      <x:c r="A1" s="14" t="str">
        <x:v>Passage ID</x:v>
      </x:c>
      <x:c r="B1" s="14" t="str">
        <x:v>Report Year</x:v>
      </x:c>
      <x:c r="C1" s="14" t="str">
        <x:v>Publication Year</x:v>
      </x:c>
      <x:c r="D1" s="14" t="str">
        <x:v>Retrieval Categories</x:v>
      </x:c>
      <x:c r="E1" s="14" t="str">
        <x:v>Matched Terms</x:v>
      </x:c>
      <x:c r="F1" s="14" t="str">
        <x:v>Selection Source</x:v>
      </x:c>
      <x:c r="G1" s="14" t="str">
        <x:v>Proposed Section</x:v>
      </x:c>
      <x:c r="H1" s="14" t="str">
        <x:v>Preliminary Inequality Signal</x:v>
      </x:c>
      <x:c r="I1" s="14" t="str">
        <x:v>Priority</x:v>
      </x:c>
      <x:c r="J1" s="14" t="str">
        <x:v>Counterevidence / Complication</x:v>
      </x:c>
      <x:c r="K1" s="14" t="str">
        <x:v>Document Form</x:v>
      </x:c>
      <x:c r="L1" s="14" t="str">
        <x:v>Place Reference</x:v>
      </x:c>
      <x:c r="M1" s="14" t="str">
        <x:v>Social Language Detected</x:v>
      </x:c>
      <x:c r="N1" s="14" t="str">
        <x:v>Material Conditions Detected</x:v>
      </x:c>
      <x:c r="O1" s="14" t="str">
        <x:v>Analytical Value / Selection Reason</x:v>
      </x:c>
      <x:c r="P1" s="14" t="str">
        <x:v>OCR Checked</x:v>
      </x:c>
      <x:c r="Q1" s="14" t="str">
        <x:v>Printed Page</x:v>
      </x:c>
      <x:c r="R1" s="14" t="str">
        <x:v>Source URL</x:v>
      </x:c>
      <x:c r="S1" s="14" t="str">
        <x:v>Passage Text</x:v>
      </x:c>
      <x:c r="T1" s="53" t="str">
        <x:v>Final Status</x:v>
      </x:c>
      <x:c r="U1" s="53" t="str">
        <x:v>Final Selection Reason</x:v>
      </x:c>
      <x:c r="V1" s="53" t="str">
        <x:v>Key Quote Page</x:v>
      </x:c>
      <x:c r="W1" s="53" t="str">
        <x:v>Source Check</x:v>
      </x:c>
      <x:c r="X1" s="53" t="str">
        <x:v>Page Confidence</x:v>
      </x:c>
      <x:c r="Y1" s="53" t="str">
        <x:v>Recommended Use</x:v>
      </x:c>
    </x:row>
    <x:row r="2" ht="86" customHeight="1">
      <x:c r="A2" s="41" t="str">
        <x:v>1890_0022</x:v>
      </x:c>
      <x:c r="B2" s="41" t="n">
        <x:v>1890</x:v>
      </x:c>
      <x:c r="C2" s="41" t="n">
        <x:v>1891</x:v>
      </x:c>
      <x:c r="D2" s="41" t="str">
        <x:v>governance; housing; inequality; sanitary</x:v>
      </x:c>
      <x:c r="E2" s="41" t="str">
        <x:v>governance: inspection | housing: houses | inequality: working classes | sanitary: nuisances, sanitary</x:v>
      </x:c>
      <x:c r="F2" s="41" t="str">
        <x:v>Automated candidate categories</x:v>
      </x:c>
      <x:c r="G2" s="41" t="str">
        <x:v>5.2 Housing, overcrowding and insanitary premises</x:v>
      </x:c>
      <x:c r="H2" s="41" t="str">
        <x:v>Administrative/legal category</x:v>
      </x:c>
      <x:c r="I2" s="41" t="str">
        <x:v>High</x:v>
      </x:c>
      <x:c r="J2" s="41" t="str">
        <x:v>No</x:v>
      </x:c>
      <x:c r="K2" s="41" t="str">
        <x:v>Annual-report commentary / quoted professional guidance</x:v>
      </x:c>
      <x:c r="L2" s="41" t="str"/>
      <x:c r="M2" s="41" t="str">
        <x:v>working class; working classes</x:v>
      </x:c>
      <x:c r="N2" s="41" t="str">
        <x:v>nuisance</x:v>
      </x:c>
      <x:c r="O2" s="41" t="str">
        <x:v>Tests how 'unfit for human habitation' was translated into site, construction, repair and nuisance criteria.</x:v>
      </x:c>
      <x:c r="P2" s="41" t="str">
        <x:v>Needs recheck</x:v>
      </x:c>
      <x:c r="Q2" s="41" t="str">
        <x:v>16</x:v>
      </x:c>
      <x:c r="R2" s="41" t="str">
        <x:v>https://wellcomelibrary.org/moh/report/b19883651</x:v>
      </x:c>
      <x:c r="S2" s="41" t="str">
        <x:v>I may add that, in some instances, I have had to call upon the owners of some houses to remedy grave sanitary defects, which, but for the special inspection, might have escaped observation for some time. It may be useful to quote the result of the deliberations of Metropolitan Officers of Health, concerning a reference to them by the Conference of Metropolitan Members of Vestries and District Boards, which took place on the 5th December last, in the County Hall, Spring Gardens. The reference demanded some common understanding concerning the meaning of the words contained in Part ii. of the "Housing of the Working Classes Act, 1890," which runs as follows :�"A condition so dangerous "or injurious to health, as to be unfit for human habitation." REPORT. "Whether a house is dangerous to health mainly depends "upon� (a) Site and surroundings. (b) Construction. (c) Age and general want of repair. (d) Nuisances.</x:v>
      </x:c>
      <x:c r="T2" s="41" t="str">
        <x:v>Supporting</x:v>
      </x:c>
      <x:c r="U2" s="41" t="str">
        <x:v>Supports the legal and administrative definition of housing unfitness; useful background rather than a main quotation.</x:v>
      </x:c>
      <x:c r="V2" s="41" t="str">
        <x:v>16</x:v>
      </x:c>
      <x:c r="W2" s="41" t="str">
        <x:v>Official downloaded full-text OCR and page markers reviewed; page-image verification remains pending.</x:v>
      </x:c>
      <x:c r="X2" s="41" t="str">
        <x:v>High</x:v>
      </x:c>
      <x:c r="Y2" s="41" t="str">
        <x:v>Paraphrase or brief corroborating reference where it confirms a pattern or supplies a counterexample.</x:v>
      </x:c>
    </x:row>
    <x:row r="3" ht="86" customHeight="1">
      <x:c r="A3" s="41" t="str">
        <x:v>1890_0024</x:v>
      </x:c>
      <x:c r="B3" s="41" t="n">
        <x:v>1890</x:v>
      </x:c>
      <x:c r="C3" s="41" t="n">
        <x:v>1891</x:v>
      </x:c>
      <x:c r="D3" s="41" t="str">
        <x:v>housing; inequality; sanitary</x:v>
      </x:c>
      <x:c r="E3" s="41" t="str">
        <x:v>housing: dwellings, houses, rooms | inequality: poor, working classes | sanitary: drainage, filth, nuisances, sanitary</x:v>
      </x:c>
      <x:c r="F3" s="41" t="str">
        <x:v>Automated candidate categories</x:v>
      </x:c>
      <x:c r="G3" s="41" t="str">
        <x:v>5.2 Housing, overcrowding and insanitary premises</x:v>
      </x:c>
      <x:c r="H3" s="41" t="str">
        <x:v>Mixed</x:v>
      </x:c>
      <x:c r="I3" s="41" t="str">
        <x:v>High</x:v>
      </x:c>
      <x:c r="J3" s="41" t="str">
        <x:v>No</x:v>
      </x:c>
      <x:c r="K3" s="41" t="str">
        <x:v>Continuation of quoted professional guidance</x:v>
      </x:c>
      <x:c r="L3" s="41" t="str"/>
      <x:c r="M3" s="41" t="str">
        <x:v>poor; working class; working classes</x:v>
      </x:c>
      <x:c r="N3" s="41" t="str">
        <x:v>drainage; drain; closet; rooms; nuisance; filth</x:v>
      </x:c>
      <x:c r="O3" s="41" t="str">
        <x:v>Places explicit reference to the 'dwellings of the poor' alongside drainage, closets, filth and dilapidation.</x:v>
      </x:c>
      <x:c r="P3" s="41" t="str">
        <x:v>Yes — original page image checked</x:v>
      </x:c>
      <x:c r="Q3" s="41" t="str">
        <x:v>18</x:v>
      </x:c>
      <x:c r="R3" s="41" t="str">
        <x:v>https://wellcomelibrary.org/moh/report/b19883651</x:v>
      </x:c>
      <x:c r="S3" s="41" t="str">
        <x:v>Such "faulty construction of chimney-flues as permits products of com"bustion from adjoining premises to permanently contaminate "the air of living-rooms. (c) Age and General Want of Repair. "This, when it reaches a degree of dilapidation, is obviously "a just cause for representation. (d) Nuisances. "Bad drainage, faulty closets, filth per se, &amp;c., are, in our "opinion, grounds for action taken under the ' Nuisances Re"moval and Sanitary Acts,' but where affecting a whole dwelling"house, or where combined with faults of site and construction, "and general want of repair, they justify action also under the "'Housing of the Working Classes Act.' "In all the above cases the question of 'degree' comes in; "it is, indeed, this question of degree that renders precise defini"tion impossible ; general principles can alone be laid down." 18 This is obviously true, but in any case it is satisfactory to know that magistrates are determined to assist Local Authorities to improve the dwellings of the poor. The above list of mal-conditions, applicable to dwelling-houses, is no new invention of Sanitary Experts, and daily experience constantly advises that greater efforts should be forthcoming to put into practice the knowledge which this experience brings.</x:v>
      </x:c>
      <x:c r="T3" s="41" t="str">
        <x:v>Core</x:v>
      </x:c>
      <x:c r="U3" s="41" t="str">
        <x:v>Shows explicit reference to the dwellings of the poor embedded in a list of material defects.</x:v>
      </x:c>
      <x:c r="V3" s="41" t="str">
        <x:v>18</x:v>
      </x:c>
      <x:c r="W3" s="41" t="str">
        <x:v>Original scan checked</x:v>
      </x:c>
      <x:c r="X3" s="41" t="str">
        <x:v>High</x:v>
      </x:c>
      <x:c r="Y3" s="41" t="str">
        <x:v>Detailed close reading and/or a short direct quotation after page-image verification.</x:v>
      </x:c>
    </x:row>
    <x:row r="4" ht="86" customHeight="1">
      <x:c r="A4" s="41" t="str">
        <x:v>1891_0014</x:v>
      </x:c>
      <x:c r="B4" s="41" t="n">
        <x:v>1891</x:v>
      </x:c>
      <x:c r="C4" s="41" t="n">
        <x:v>1892</x:v>
      </x:c>
      <x:c r="D4" s="41" t="str">
        <x:v>inequality</x:v>
      </x:c>
      <x:c r="E4" s="41" t="str">
        <x:v>inequality: infirmary, lodgers, lodging-houses</x:v>
      </x:c>
      <x:c r="F4" s="41" t="str">
        <x:v>Automated candidate categories</x:v>
      </x:c>
      <x:c r="G4" s="41" t="str">
        <x:v>5.5 Direct and indirect language of inequality</x:v>
      </x:c>
      <x:c r="H4" s="41" t="str">
        <x:v>Institutional/social category</x:v>
      </x:c>
      <x:c r="I4" s="41" t="str">
        <x:v>Medium</x:v>
      </x:c>
      <x:c r="J4" s="41" t="str">
        <x:v>Yes</x:v>
      </x:c>
      <x:c r="K4" s="41" t="str">
        <x:v>Annual-report commentary</x:v>
      </x:c>
      <x:c r="L4" s="41" t="str"/>
      <x:c r="M4" s="41" t="str"/>
      <x:c r="N4" s="41" t="str">
        <x:v>lodging-house; shelter</x:v>
      </x:c>
      <x:c r="O4" s="41" t="str">
        <x:v>Allows examination of official language about shelter lodgers, mobility, employment and philanthropic institutions.</x:v>
      </x:c>
      <x:c r="P4" s="41" t="str">
        <x:v>Needs recheck</x:v>
      </x:c>
      <x:c r="Q4" s="41" t="str">
        <x:v>14–15</x:v>
      </x:c>
      <x:c r="R4" s="41" t="str">
        <x:v>https://wellcomelibrary.org/moh/report/b19883663</x:v>
      </x:c>
      <x:c r="S4" s="41" t="str">
        <x:v>Whilst on this subject, it may not altogether be out of place if I allude to certain institutions which have latelj- appeared in the District; they are founded for philanthropic purposes, and they escape police supervision because they avoid registration under the Common Lodging-houses Acts. These so-called 'shelters' are open apparently to all comers, and the friends of the 'Associations' endeavour with great vigour to supply them with lodgers collected from all parts of the Metropolis and elsewhere. It might have been hoped that the principals of the ' shelters ' would draft their visitors into useful employment in London, the Country, or even in the Colonies�but a few particulars which I have been at the trouble to collect do not support the theory that such is the intention of the promoters of these refuges. At any rate, the result has not been in that direction. I find that the District Medical Officers have, during the year 15 1891, given admission orders into the Whitechapel Infirmary to lodgers from the following institutions:� Shelter.</x:v>
      </x:c>
      <x:c r="T4" s="41" t="str">
        <x:v>Exclude</x:v>
      </x:c>
      <x:c r="U4" s="41" t="str">
        <x:v>Overlaps too closely with the shelter and institutional-governance analysis already developed in Chapter 4.</x:v>
      </x:c>
      <x:c r="V4" s="41" t="str">
        <x:v>14</x:v>
      </x:c>
      <x:c r="W4" s="41" t="str">
        <x:v>Official downloaded full-text OCR and page markers reviewed; page-image verification remains pending.</x:v>
      </x:c>
      <x:c r="X4" s="41" t="str">
        <x:v>High</x:v>
      </x:c>
      <x:c r="Y4" s="41" t="str">
        <x:v>Do not use in Chapter 5 unless the chapter structure changes substantially.</x:v>
      </x:c>
    </x:row>
    <x:row r="5" ht="86" customHeight="1">
      <x:c r="A5" s="41" t="str">
        <x:v>1892_0017</x:v>
      </x:c>
      <x:c r="B5" s="41" t="n">
        <x:v>1892</x:v>
      </x:c>
      <x:c r="C5" s="41" t="n">
        <x:v>1893</x:v>
      </x:c>
      <x:c r="D5" s="41" t="str">
        <x:v>disease; governance; housing; sanitary</x:v>
      </x:c>
      <x:c r="E5" s="41" t="str">
        <x:v>disease: cholera, diarrhoea | governance: local government board | housing: houses, model dwellings | sanitary: sanitary, water supply</x:v>
      </x:c>
      <x:c r="F5" s="41" t="str">
        <x:v>Supplementary manual social-language scan</x:v>
      </x:c>
      <x:c r="G5" s="41" t="str">
        <x:v>5.5 Direct and indirect language of inequality</x:v>
      </x:c>
      <x:c r="H5" s="41" t="str">
        <x:v>Explicit social group</x:v>
      </x:c>
      <x:c r="I5" s="41" t="str">
        <x:v>High</x:v>
      </x:c>
      <x:c r="J5" s="41" t="str">
        <x:v>Yes</x:v>
      </x:c>
      <x:c r="K5" s="41" t="str">
        <x:v>Retrospective annual-report commentary</x:v>
      </x:c>
      <x:c r="L5" s="41" t="str"/>
      <x:c r="M5" s="41" t="str">
        <x:v>immigrant foreigners</x:v>
      </x:c>
      <x:c r="N5" s="41" t="str">
        <x:v>water supply</x:v>
      </x:c>
      <x:c r="O5" s="41" t="str">
        <x:v>Supplementary scan: links housing conditions and cholera preparedness to the reported 'habits of immigrant foreigners'.</x:v>
      </x:c>
      <x:c r="P5" s="41" t="str">
        <x:v>Needs recheck</x:v>
      </x:c>
      <x:c r="Q5" s="41" t="str">
        <x:v>11–12</x:v>
      </x:c>
      <x:c r="R5" s="41" t="str">
        <x:v>https://wellcomelibrary.org/moh/report/b19883675</x:v>
      </x:c>
      <x:c r="S5" s="41" t="str">
        <x:v>As all Reports upon the subject were orally communicated either by myself directly, or in combination with statements made by your Clerk, it may be advisable that I should now briefly recapitulate the chief details which will inform the Local Government Board as to the condition of the Whitechapel District. In 1884 I reported to the Committee of Works as follows:�"Although in "1866. about 35 per cent. of our Residents suffered from Cholera, Choleraic "Diarrhoea, or Diarrhoea; and 566 lives (or over 7 per 1000 of the population) "were sacrificed to this terrible epidemic, I feel justified in asserting that a "repetition of such a history cannot occur in Whitechapel. Not only have many "of the worst houses been removed, but the entire District is in every way in a "far better Sanitary condition now. The water supply is also sufficient and " good." To a still greater extent these remarks are applicable to our District at the present time. More Model Dwellings occupy the site of former insanitary houses, and although certain parts of the Distridt�as much on account of the habits of immigrant foreigners, as from the condition of the houses�require to be improved, B 2 12 yet they are surrounded by a cordon of wholesome domiciles, so that, although sporadic cases of Cholera might become imported into the District, I do not think the conditions exists which are required for the Disease to become seriously epidemic.</x:v>
      </x:c>
      <x:c r="T5" s="41" t="str">
        <x:v>Supporting</x:v>
      </x:c>
      <x:c r="U5" s="41" t="str">
        <x:v>Useful counterexample for examining ethnicised explanations of sanitary risk; retained as support because the passage is broad.</x:v>
      </x:c>
      <x:c r="V5" s="41" t="str">
        <x:v>11</x:v>
      </x:c>
      <x:c r="W5" s="41" t="str">
        <x:v>Official downloaded full-text OCR and page markers reviewed; page-image verification remains pending.</x:v>
      </x:c>
      <x:c r="X5" s="41" t="str">
        <x:v>High</x:v>
      </x:c>
      <x:c r="Y5" s="41" t="str">
        <x:v>Paraphrase or brief corroborating reference where it confirms a pattern or supplies a counterexample.</x:v>
      </x:c>
    </x:row>
    <x:row r="6" ht="86" customHeight="1">
      <x:c r="A6" s="41" t="str">
        <x:v>1892_0020</x:v>
      </x:c>
      <x:c r="B6" s="41" t="n">
        <x:v>1892</x:v>
      </x:c>
      <x:c r="C6" s="41" t="n">
        <x:v>1893</x:v>
      </x:c>
      <x:c r="D6" s="41" t="str">
        <x:v>governance; housing; sanitary</x:v>
      </x:c>
      <x:c r="E6" s="41" t="str">
        <x:v>governance: board | housing: overcrowding, rooms | sanitary: drains, nuisances</x:v>
      </x:c>
      <x:c r="F6" s="41" t="str">
        <x:v>Automated candidate categories</x:v>
      </x:c>
      <x:c r="G6" s="41" t="str">
        <x:v>5.3 Drainage, water supply and material sanitation</x:v>
      </x:c>
      <x:c r="H6" s="41" t="str">
        <x:v>Indirect/material</x:v>
      </x:c>
      <x:c r="I6" s="41" t="str">
        <x:v>High</x:v>
      </x:c>
      <x:c r="J6" s="41" t="str">
        <x:v>Yes</x:v>
      </x:c>
      <x:c r="K6" s="41" t="str">
        <x:v>Public instruction reproduced in report</x:v>
      </x:c>
      <x:c r="L6" s="41" t="str"/>
      <x:c r="M6" s="41" t="str"/>
      <x:c r="N6" s="41" t="str">
        <x:v>overcrowding; drain; rooms; nuisance</x:v>
      </x:c>
      <x:c r="O6" s="41" t="str">
        <x:v>Shows how cholera prevention instructions connected cleanliness, drains, ventilation and overcrowding to residents' conduct.</x:v>
      </x:c>
      <x:c r="P6" s="41" t="str">
        <x:v>Yes — original page image checked</x:v>
      </x:c>
      <x:c r="Q6" s="41" t="str">
        <x:v>12–13</x:v>
      </x:c>
      <x:c r="R6" s="41" t="str">
        <x:v>https://wellcomelibrary.org/moh/report/b19883675</x:v>
      </x:c>
      <x:c r="S6" s="41" t="str">
        <x:v>Small bills were judiciously distributed amongst those inhabitants, to whom it was thought proper to bring the information which was printed. I append a copy of this bill:� "WHITECHAPEL DISTRICT BOARD OF WORKS. INSTRUCTIONS TO INHABITANTS.� "Perfect cleanliness in person and Dwelling, and avoidance of all nuisances "in and around the house is of utmost importance. Freely use water and carbolic "acid to cleanse drains and sinks, No food which looks bad or which has an "unpleasant smell, should be eaten. Draw all drinking water from the main tap, "'and boil all drinking water and milk. Avoid overcrowding, and ventilate all "rooms. Every case of sickness must be notified to the Board Offices, No. 15, "Great Alie Street, E. Do not neglect the mildest attack of Diarrh�a, or other "illness. Report to the Officers of the Board when any unpleasant smells or "nuisances of any kind are noticed." 13 All the above preparations were made by your Officers during the recess of the Board, but a special Committee of Works meeting was summoned for the 1st September, at which your Clerk explained what had taken place, and the measures which were in contemplation by your Officers, should the occasion require them.</x:v>
      </x:c>
      <x:c r="T6" s="41" t="str">
        <x:v>Core</x:v>
      </x:c>
      <x:c r="U6" s="41" t="str">
        <x:v>Shows how public instructions converted cholera prevention into cleanliness, ventilation, drainage and overcrowding practices.</x:v>
      </x:c>
      <x:c r="V6" s="41" t="str">
        <x:v>12</x:v>
      </x:c>
      <x:c r="W6" s="41" t="str">
        <x:v>Original scan checked</x:v>
      </x:c>
      <x:c r="X6" s="41" t="str">
        <x:v>High</x:v>
      </x:c>
      <x:c r="Y6" s="41" t="str">
        <x:v>Detailed close reading and/or a short direct quotation after page-image verification.</x:v>
      </x:c>
    </x:row>
    <x:row r="7" ht="86" customHeight="1">
      <x:c r="A7" s="41" t="str">
        <x:v>1892_0026</x:v>
      </x:c>
      <x:c r="B7" s="41" t="n">
        <x:v>1892</x:v>
      </x:c>
      <x:c r="C7" s="41" t="n">
        <x:v>1893</x:v>
      </x:c>
      <x:c r="D7" s="41" t="str">
        <x:v>housing; inequality; sanitary</x:v>
      </x:c>
      <x:c r="E7" s="41" t="str">
        <x:v>housing: houses | inequality: destitute, lodgers, poorest | sanitary: sanitary</x:v>
      </x:c>
      <x:c r="F7" s="41" t="str">
        <x:v>Automated candidate categories</x:v>
      </x:c>
      <x:c r="G7" s="41" t="str">
        <x:v>5.5 Direct and indirect language of inequality</x:v>
      </x:c>
      <x:c r="H7" s="41" t="str">
        <x:v>Explicit social language</x:v>
      </x:c>
      <x:c r="I7" s="41" t="str">
        <x:v>High</x:v>
      </x:c>
      <x:c r="J7" s="41" t="str">
        <x:v>Yes</x:v>
      </x:c>
      <x:c r="K7" s="41" t="str">
        <x:v>Annual-report commentary</x:v>
      </x:c>
      <x:c r="L7" s="41" t="str"/>
      <x:c r="M7" s="41" t="str">
        <x:v>poor; poorest; destitute</x:v>
      </x:c>
      <x:c r="N7" s="41" t="str">
        <x:v>ventilation; lodging house; shelter</x:v>
      </x:c>
      <x:c r="O7" s="41" t="str">
        <x:v>Uses 'comparatively destitute' and 'poorest persons' while comparing philanthropic shelters with registered lodging houses.</x:v>
      </x:c>
      <x:c r="P7" s="41" t="str">
        <x:v>Yes — original page image checked</x:v>
      </x:c>
      <x:c r="Q7" s="41" t="str">
        <x:v>17</x:v>
      </x:c>
      <x:c r="R7" s="41" t="str">
        <x:v>https://wellcomelibrary.org/moh/report/b19883675</x:v>
      </x:c>
      <x:c r="S7" s="41" t="str">
        <x:v>The Government has been requested to transfer the supervision of these houses from the police to the Local Sanitary Authorities. I must at once declare that when the class of house is taken into consideration, together with the persons who lodge therein, my* experience compels me to assert that the change proposed would not be a good one. At present the police sergeant (who acts under his superintendent) admirably supervises the arrangements for the health of the lodgers, and in matters requiring their intervention, the Sanitary Authorities are called in to co-operate. The regulations governing accommodation and ventilation are well framed under the provision of the Lodginghouses Acts, and I am sorry that all houses, where the comparatively destitute are housed, have not the advantage of similar supervision. It has been my duty on account of a case of small-pox occurring at each, to investigate the sanitary condition of two large shelters provided by a philanthropic association for sleeping the poorest persons. I will not here detail all that I have been compelled to note concerning the places themselves, and the sleeping accommodation provided; but I feel unable to answer the question which arises in my mind, namely :�What good purpose is here being served, which could not be better attained by the police registered and supervised Common-lodging Houses ?</x:v>
      </x:c>
      <x:c r="T7" s="41" t="str">
        <x:v>Core</x:v>
      </x:c>
      <x:c r="U7" s="41" t="str">
        <x:v>Provides direct class and destitution language while comparing philanthropic shelters and regulated lodging houses.</x:v>
      </x:c>
      <x:c r="V7" s="41" t="str">
        <x:v>17</x:v>
      </x:c>
      <x:c r="W7" s="41" t="str">
        <x:v>Original scan checked</x:v>
      </x:c>
      <x:c r="X7" s="41" t="str">
        <x:v>High</x:v>
      </x:c>
      <x:c r="Y7" s="41" t="str">
        <x:v>Detailed close reading and/or a short direct quotation after page-image verification.</x:v>
      </x:c>
    </x:row>
    <x:row r="8" ht="86" customHeight="1">
      <x:c r="A8" s="41" t="str">
        <x:v>1893_0023</x:v>
      </x:c>
      <x:c r="B8" s="41" t="n">
        <x:v>1893</x:v>
      </x:c>
      <x:c r="C8" s="41" t="n">
        <x:v>1894</x:v>
      </x:c>
      <x:c r="D8" s="41" t="str">
        <x:v>governance; housing; inequality; sanitary</x:v>
      </x:c>
      <x:c r="E8" s="41" t="str">
        <x:v>governance: inspections | housing: houses | inequality: lodging-houses, poor | sanitary: sanitary, water supply</x:v>
      </x:c>
      <x:c r="F8" s="41" t="str">
        <x:v>Automated candidate categories</x:v>
      </x:c>
      <x:c r="G8" s="41" t="str">
        <x:v>5.5 Direct and indirect language of inequality</x:v>
      </x:c>
      <x:c r="H8" s="41" t="str">
        <x:v>Explicit social language</x:v>
      </x:c>
      <x:c r="I8" s="41" t="str">
        <x:v>High</x:v>
      </x:c>
      <x:c r="J8" s="41" t="str">
        <x:v>No</x:v>
      </x:c>
      <x:c r="K8" s="41" t="str">
        <x:v>Annual-report commentary</x:v>
      </x:c>
      <x:c r="L8" s="41" t="str"/>
      <x:c r="M8" s="41" t="str">
        <x:v>poor</x:v>
      </x:c>
      <x:c r="N8" s="41" t="str">
        <x:v>water supply; lodging-house; shelter</x:v>
      </x:c>
      <x:c r="O8" s="41" t="str">
        <x:v>Connects 'the very poor' with unregistered shelters and the unequal reach of official inspection.</x:v>
      </x:c>
      <x:c r="P8" s="41" t="str">
        <x:v>Needs recheck</x:v>
      </x:c>
      <x:c r="Q8" s="41" t="str">
        <x:v>9–10</x:v>
      </x:c>
      <x:c r="R8" s="41" t="str">
        <x:v>https://wellcomelibrary.org/moh/report/b18018348</x:v>
      </x:c>
      <x:c r="S8" s="41" t="str">
        <x:v>The question is of such vital importance to the health of the inhabitants, that I hope some means may be found to avert a repetition of last year's experience. So far as the general quality of the District water supply is concerned, the official returns leave little to be desired. I have generally included in my Report some particulars concerning Registered Common Lodging-houses, and 1 again do so. It has been decided by the Home Secretary that so soon as arrangements can be made, he will transfer the jurisdiction of this class of Lodging-house from the police to the Local Authorities, so far as the Sanitary overlooking of them will be concerned. The police will still retain the right of entry for other purposes. I can only express a hope that the new plan will be as successful as the old plan has been. I have also appended a list of so-called philanthropic shelters within the District. These are in reality Common Lodging-houses b 2 10 not registered. I trust the time will soon arrive when all places set apart for the lodging of the very poor will be benefitted by the official inspections, to which the registered houses have long been subjected.</x:v>
      </x:c>
      <x:c r="T8" s="41" t="str">
        <x:v>Supporting</x:v>
      </x:c>
      <x:c r="U8" s="41" t="str">
        <x:v>Confirms that explicit reference to the very poor could be tied to unequal regulatory coverage.</x:v>
      </x:c>
      <x:c r="V8" s="41" t="str">
        <x:v>10</x:v>
      </x:c>
      <x:c r="W8" s="41" t="str">
        <x:v>Official downloaded full-text OCR and page markers reviewed; page-image verification remains pending.</x:v>
      </x:c>
      <x:c r="X8" s="41" t="str">
        <x:v>High</x:v>
      </x:c>
      <x:c r="Y8" s="41" t="str">
        <x:v>Paraphrase or brief corroborating reference where it confirms a pattern or supplies a counterexample.</x:v>
      </x:c>
    </x:row>
    <x:row r="9" ht="86" customHeight="1">
      <x:c r="A9" s="41" t="str">
        <x:v>1894_0014</x:v>
      </x:c>
      <x:c r="B9" s="41" t="n">
        <x:v>1894</x:v>
      </x:c>
      <x:c r="C9" s="41" t="n">
        <x:v>1895</x:v>
      </x:c>
      <x:c r="D9" s="41" t="str">
        <x:v>housing; inequality; sanitary</x:v>
      </x:c>
      <x:c r="E9" s="41" t="str">
        <x:v>housing: houses | inequality: infirmary, lodging-houses | sanitary: water supply</x:v>
      </x:c>
      <x:c r="F9" s="41" t="str">
        <x:v>Automated candidate categories</x:v>
      </x:c>
      <x:c r="G9" s="41" t="str">
        <x:v>5.3 Drainage, water supply and material sanitation</x:v>
      </x:c>
      <x:c r="H9" s="41" t="str">
        <x:v>Indirect/material</x:v>
      </x:c>
      <x:c r="I9" s="41" t="str">
        <x:v>High</x:v>
      </x:c>
      <x:c r="J9" s="41" t="str">
        <x:v>No</x:v>
      </x:c>
      <x:c r="K9" s="41" t="str">
        <x:v>Annual-report commentary</x:v>
      </x:c>
      <x:c r="L9" s="41" t="str"/>
      <x:c r="M9" s="41" t="str"/>
      <x:c r="N9" s="41" t="str">
        <x:v>water supply; lodging-house; cistern</x:v>
      </x:c>
      <x:c r="O9" s="41" t="str">
        <x:v>Provides evidence on intermittent water supply, the absence of cisterns and dependence on a trading company.</x:v>
      </x:c>
      <x:c r="P9" s="41" t="str">
        <x:v>Yes — original page image checked</x:v>
      </x:c>
      <x:c r="Q9" s="41" t="str">
        <x:v>9–10</x:v>
      </x:c>
      <x:c r="R9" s="41" t="str">
        <x:v>https://wellcomelibrary.org/moh/report/b1801835x</x:v>
      </x:c>
      <x:c r="S9" s="41" t="str">
        <x:v>Curiously enough the result of the drought of 1893 was to permit the Company to give constant supply to its customers during nearly all the summer of 1894, and then in the Autumn to compel it to resort to the intermittent system of supply. When it is understood that cisterns are not generally to be found in houses in the District, it will be apparent that great inconvenience frequently resulted from this arrangement. That some better and more certain system of water supply is necessary cannot be doubted. That one of the necessities of life should be in the hands of a trading company, who may limit its supply in the manner I have discussed, possesses risks which at least demand considerable attention. Registered Common Lodging-Houses are now under the control of the London County Council, instead of as formerly being under Police Supervision. These houses are fewer in number, being 86 now, as compared with 98 in the last year. I append a list as usual, showing the number of deaths among the inhabitants of these houses where 10 such deaths took place in the Whitechapel Union Infirmary or other Public Institution.</x:v>
      </x:c>
      <x:c r="T9" s="41" t="str">
        <x:v>Core</x:v>
      </x:c>
      <x:c r="U9" s="41" t="str">
        <x:v>Provides a clear material-sanitation case centred on intermittent water supply and household storage capacity.</x:v>
      </x:c>
      <x:c r="V9" s="41" t="str">
        <x:v>9</x:v>
      </x:c>
      <x:c r="W9" s="41" t="str">
        <x:v>Original scan checked</x:v>
      </x:c>
      <x:c r="X9" s="41" t="str">
        <x:v>High</x:v>
      </x:c>
      <x:c r="Y9" s="41" t="str">
        <x:v>Detailed close reading and/or a short direct quotation after page-image verification.</x:v>
      </x:c>
    </x:row>
    <x:row r="10" ht="86" customHeight="1">
      <x:c r="A10" s="41" t="str">
        <x:v>1894_0020</x:v>
      </x:c>
      <x:c r="B10" s="41" t="n">
        <x:v>1894</x:v>
      </x:c>
      <x:c r="C10" s="41" t="n">
        <x:v>1895</x:v>
      </x:c>
      <x:c r="D10" s="41" t="str">
        <x:v>housing; inequality; sanitary</x:v>
      </x:c>
      <x:c r="E10" s="41" t="str">
        <x:v>housing: dwellings, houses | inequality: working classes | sanitary: sanitary</x:v>
      </x:c>
      <x:c r="F10" s="41" t="str">
        <x:v>Automated candidate categories</x:v>
      </x:c>
      <x:c r="G10" s="41" t="str">
        <x:v>5.2 Housing, overcrowding and insanitary premises</x:v>
      </x:c>
      <x:c r="H10" s="41" t="str">
        <x:v>Administrative/legal category</x:v>
      </x:c>
      <x:c r="I10" s="41" t="str">
        <x:v>High</x:v>
      </x:c>
      <x:c r="J10" s="41" t="str">
        <x:v>Yes</x:v>
      </x:c>
      <x:c r="K10" s="41" t="str">
        <x:v>Annual-report commentary / quotation</x:v>
      </x:c>
      <x:c r="L10" s="41" t="str">
        <x:v>Hanbury Street</x:v>
      </x:c>
      <x:c r="M10" s="41" t="str">
        <x:v>working class; working classes</x:v>
      </x:c>
      <x:c r="N10" s="41" t="str"/>
      <x:c r="O10" s="41" t="str">
        <x:v>Combines an explicit working-class housing duty with reported difficulty applying the Act to worn-out property.</x:v>
      </x:c>
      <x:c r="P10" s="41" t="str">
        <x:v>Yes — original page image checked</x:v>
      </x:c>
      <x:c r="Q10" s="41" t="str">
        <x:v>15</x:v>
      </x:c>
      <x:c r="R10" s="41" t="str">
        <x:v>https://wellcomelibrary.org/moh/report/b1801835x</x:v>
      </x:c>
      <x:c r="S10" s="41" t="str">
        <x:v>Dr. Longstaff, Chairman of the Building Act Committee of the London County Council, who was active in the promotion of the Bill, was recently discussing its merits at the Parkes Museum. The Doctor stated "that Parliament threw upon the County Council "the imperative duty, under certain circumstances, of (at practically "whatever cost) buying out unhealthy buildings of persons of the "working-class, and seeing that more suitable dwellings were placed "thereon." Perfectly true! may I commend this opinion to the consideration of the Council when they next consider the question of " The Bell Lane and Great Pearl Street areas?" Housing of the Working Classes Act, 1890. I have been very unsuccessful in the application of this Act to worn out property. To begin with, I do not think Magistrates like it; and although very strong evidence has been produced in support of some prosecutions which I have been interested in, more difficulties have occurred with it than I have experienced with any other Sanitary Act. As an illustration, I will mention the houses in Hanbury Street and Samuel Court.</x:v>
      </x:c>
      <x:c r="T10" s="41" t="str">
        <x:v>Core</x:v>
      </x:c>
      <x:c r="U10" s="41" t="str">
        <x:v>Connects working-class housing legislation with the practical limits of intervention in worn-out property.</x:v>
      </x:c>
      <x:c r="V10" s="41" t="str">
        <x:v>15</x:v>
      </x:c>
      <x:c r="W10" s="41" t="str">
        <x:v>Original scan checked</x:v>
      </x:c>
      <x:c r="X10" s="41" t="str">
        <x:v>High</x:v>
      </x:c>
      <x:c r="Y10" s="41" t="str">
        <x:v>Detailed close reading and/or a short direct quotation after page-image verification.</x:v>
      </x:c>
    </x:row>
    <x:row r="11" ht="86" customHeight="1">
      <x:c r="A11" s="41" t="str">
        <x:v>1894_0025</x:v>
      </x:c>
      <x:c r="B11" s="41" t="n">
        <x:v>1894</x:v>
      </x:c>
      <x:c r="C11" s="41" t="n">
        <x:v>1895</x:v>
      </x:c>
      <x:c r="D11" s="41" t="str">
        <x:v>governance; inequality; sanitary</x:v>
      </x:c>
      <x:c r="E11" s="41" t="str">
        <x:v>governance: board | inequality: working classes | sanitary: sanitary</x:v>
      </x:c>
      <x:c r="F11" s="41" t="str">
        <x:v>Automated candidate categories</x:v>
      </x:c>
      <x:c r="G11" s="41" t="str">
        <x:v>5.5 Direct and indirect language of inequality</x:v>
      </x:c>
      <x:c r="H11" s="41" t="str">
        <x:v>Mixed</x:v>
      </x:c>
      <x:c r="I11" s="41" t="str">
        <x:v>High</x:v>
      </x:c>
      <x:c r="J11" s="41" t="str">
        <x:v>Yes</x:v>
      </x:c>
      <x:c r="K11" s="41" t="str">
        <x:v>Committee/report commentary</x:v>
      </x:c>
      <x:c r="L11" s="41" t="str"/>
      <x:c r="M11" s="41" t="str">
        <x:v>working class; working classes; jewish community</x:v>
      </x:c>
      <x:c r="N11" s="41" t="str"/>
      <x:c r="O11" s="41" t="str">
        <x:v>Important counterexample: combines racialised attribution of sanitary behaviour with acknowledged institutional delay and lack of funds.</x:v>
      </x:c>
      <x:c r="P11" s="41" t="str">
        <x:v>Yes — original page image checked</x:v>
      </x:c>
      <x:c r="Q11" s="41" t="str">
        <x:v>16–17</x:v>
      </x:c>
      <x:c r="R11" s="41" t="str">
        <x:v>https://wellcomelibrary.org/moh/report/b1801835x</x:v>
      </x:c>
      <x:c r="S11" s="41" t="str">
        <x:v>He has further pointed out that the influential members of the Jewish Community can to a 17 great extent remedy the evils of which their Sanitary Committee complain, by using such personal influence in aiding their education, that these people may use, instead of abuse, the Sanitary Conveniences provided for them, and to which they have not hitherto been accustomed. The second paragraph of Mr. Murphy's preface to Dr. Hamer's Report has reference to the fact that Whitechapel still has an exceptional number of ill-arranged courts and alleys. If this be so, it is also a fact that they are chiefly contained within the areas well known as "The Bell Lane Area," and "Great Pearl Street." It cannot be necessary to recall the fact that these areas, so far back as 1871, were reprsented to the late Metropolitan Board of Works, and that progress had been made by that Authority in the direction of giving effect to those representations, when it was succeeded by the London County Council. The New Body, by its Committees and Officers, are thoroughly acquainted with the conditions of the areas, and during the present year, the Chairman of the Housing of tho Working Classes Committee admitted to a Deputation of the Whitechapel Board the necessities of the Case, but pleaded " Want of Funds " as a reason for the Council's inactivity in promoting a Bill for acquiring the areas under Part 1 of the " Housing of the Working Classes Act, 1890." Dr.</x:v>
      </x:c>
      <x:c r="T11" s="41" t="str">
        <x:v>Core</x:v>
      </x:c>
      <x:c r="U11" s="41" t="str">
        <x:v>Essential complication: combines racialised attribution with acknowledged delay, institutional weakness and lack of funds.</x:v>
      </x:c>
      <x:c r="V11" s="41" t="str">
        <x:v>16–17</x:v>
      </x:c>
      <x:c r="W11" s="41" t="str">
        <x:v>Original scan checked</x:v>
      </x:c>
      <x:c r="X11" s="41" t="str">
        <x:v>High</x:v>
      </x:c>
      <x:c r="Y11" s="41" t="str">
        <x:v>Detailed close reading and/or a short direct quotation after page-image verification.</x:v>
      </x:c>
    </x:row>
    <x:row r="12" ht="86" customHeight="1">
      <x:c r="A12" s="41" t="str">
        <x:v>1894_0026</x:v>
      </x:c>
      <x:c r="B12" s="41" t="n">
        <x:v>1894</x:v>
      </x:c>
      <x:c r="C12" s="41" t="n">
        <x:v>1895</x:v>
      </x:c>
      <x:c r="D12" s="41" t="str">
        <x:v>governance; housing; inequality</x:v>
      </x:c>
      <x:c r="E12" s="41" t="str">
        <x:v>governance: board, medical officer | housing: rooms | inequality: poverty</x:v>
      </x:c>
      <x:c r="F12" s="41" t="str">
        <x:v>Automated candidate categories (dictionary-synchronised)</x:v>
      </x:c>
      <x:c r="G12" s="41" t="str">
        <x:v>5.5 Direct and indirect language of inequality</x:v>
      </x:c>
      <x:c r="H12" s="41" t="str">
        <x:v>Explicit social language</x:v>
      </x:c>
      <x:c r="I12" s="41" t="str">
        <x:v>High</x:v>
      </x:c>
      <x:c r="J12" s="41" t="str">
        <x:v>Yes</x:v>
      </x:c>
      <x:c r="K12" s="41" t="str">
        <x:v>Committee/report commentary</x:v>
      </x:c>
      <x:c r="L12" s="41" t="str"/>
      <x:c r="M12" s="41" t="str">
        <x:v>poverty</x:v>
      </x:c>
      <x:c r="N12" s="41" t="str">
        <x:v>single room; rooms</x:v>
      </x:c>
      <x:c r="O12" s="41" t="str">
        <x:v>Supplementary scan: directly invokes Booth's 'Poverty and Associated Conditions' but questions its application and discusses single-room attachment.</x:v>
      </x:c>
      <x:c r="P12" s="41" t="str">
        <x:v>Yes — original page image checked</x:v>
      </x:c>
      <x:c r="Q12" s="41" t="str">
        <x:v>17</x:v>
      </x:c>
      <x:c r="R12" s="41" t="str">
        <x:v>https://wellcomelibrary.org/moh/report/b1801835x</x:v>
      </x:c>
      <x:c r="S12" s="41" t="str">
        <x:v>Hamer commences his Report with certain statistical information with which the Members of the Whitechapel District Board are familiar, as they entered into their Medical Officer's Report which was issued in the early part of the present year. The Committee do not proposo to discuss the interesting figures which have been extracted from Mr. Booth's excellent book upon "Poverty and Associated Conditions," because in such connection it has been shewn that theory and experience do not always agree with the results which may be deduced from such observations. It is an admitted fact that the Polish Jew, like the Native of the South of Ireland, has a strong affection for his home, be it only a single room: he will use his greatest efforts against being dislodged, even though one can prove to him that two better rooms may be provided for him elsewhere for the same rental. With regard to the other factors, such as excess of young married females, and surplus married males, mentioned by Mr. Booth, and quoted by Dr.</x:v>
      </x:c>
      <x:c r="T12" s="41" t="str">
        <x:v>Core</x:v>
      </x:c>
      <x:c r="U12" s="41" t="str">
        <x:v>Directly invokes poverty as an analytical category, but also records disagreement over its local interpretation.</x:v>
      </x:c>
      <x:c r="V12" s="41" t="str">
        <x:v>17</x:v>
      </x:c>
      <x:c r="W12" s="41" t="str">
        <x:v>Original scan checked</x:v>
      </x:c>
      <x:c r="X12" s="41" t="str">
        <x:v>High</x:v>
      </x:c>
      <x:c r="Y12" s="41" t="str">
        <x:v>Detailed close reading and/or a short direct quotation after page-image verification.</x:v>
      </x:c>
    </x:row>
    <x:row r="13" ht="86" customHeight="1">
      <x:c r="A13" s="41" t="str">
        <x:v>1894_0054</x:v>
      </x:c>
      <x:c r="B13" s="41" t="n">
        <x:v>1894</x:v>
      </x:c>
      <x:c r="C13" s="41" t="n">
        <x:v>1895</x:v>
      </x:c>
      <x:c r="D13" s="41" t="str">
        <x:v>sanitary</x:v>
      </x:c>
      <x:c r="E13" s="41" t="str">
        <x:v>sanitary: dirty, drain, nuisance</x:v>
      </x:c>
      <x:c r="F13" s="41" t="str">
        <x:v>Automated candidate categories</x:v>
      </x:c>
      <x:c r="G13" s="41" t="str">
        <x:v>5.3 Drainage, water supply and material sanitation</x:v>
      </x:c>
      <x:c r="H13" s="41" t="str">
        <x:v>Indirect/material</x:v>
      </x:c>
      <x:c r="I13" s="41" t="str">
        <x:v>Medium</x:v>
      </x:c>
      <x:c r="J13" s="41" t="str">
        <x:v>No</x:v>
      </x:c>
      <x:c r="K13" s="41" t="str">
        <x:v>Enforcement table</x:v>
      </x:c>
      <x:c r="L13" s="41" t="str">
        <x:v>Wentworth Street; Fashion Street</x:v>
      </x:c>
      <x:c r="M13" s="41" t="str"/>
      <x:c r="N13" s="41" t="str">
        <x:v>drain; water closet; closet; dilapidated; nuisance; filth; dirty</x:v>
      </x:c>
      <x:c r="O13" s="41" t="str">
        <x:v>Address-level cases connect water absence, dirty interiors, defective paving, drainage and underground occupation.</x:v>
      </x:c>
      <x:c r="P13" s="41" t="str">
        <x:v>Needs recheck</x:v>
      </x:c>
      <x:c r="Q13" s="41" t="str">
        <x:v>39–40</x:v>
      </x:c>
      <x:c r="R13" s="41" t="str">
        <x:v>https://wellcomelibrary.org/moh/report/b1801835x</x:v>
      </x:c>
      <x:c r="S13" s="41" t="str">
        <x:v>6, Wentworth Street House dirty and dilapidated. No water for domestic use � 30th Work done. Summons withdrawn. 16, Fashion Street Wilfully stopping up the drain May 4th Fined �2 and 7s. costs. 22, Fieldgate Street Underground room occupied as a dwelling � 8th Occupation discontinued. Summons withdrawn. 40 Situation of Premises. Nature of Nuisance or Complaint. Date of hearing of Summons. Result. 1894 22, Fieldgate Street Fowls kept in filthy sheds in yard, walls and ceilings of house dirty and dilapidated. Yard defectively paved and in a filthy state. No water to water closet owing to defective fittings. Open fireplace in yard without a proper flue May 8th Work done. Summons withdrawn. Tenter Buildings, St. Mark Street Walls and ceilings of passage and staircase dirty. Sinks on 1st and 2nd floor landings not trapped. The water closets on 1st and 2nd floors dirty � 8th Work done. Summons withdrawn. 21, Great Alie Street Yard defectively paved. Drain in yard not properly trapped. Pan of water closet filthy. No eaves gutter to water closet. Back basement, dirty and dilapidated walls and ceilings, and floor defective. Front area not drained and paving of such area defective � 8th Work done.</x:v>
      </x:c>
      <x:c r="T13" s="41" t="str">
        <x:v>Supporting</x:v>
      </x:c>
      <x:c r="U13" s="41" t="str">
        <x:v>Supplies address-level corroboration for water, paving, drainage and underground occupation problems.</x:v>
      </x:c>
      <x:c r="V13" s="41" t="str">
        <x:v>39–40</x:v>
      </x:c>
      <x:c r="W13" s="41" t="str">
        <x:v>Official downloaded full-text OCR and page markers reviewed; page-image verification remains pending.</x:v>
      </x:c>
      <x:c r="X13" s="41" t="str">
        <x:v>High</x:v>
      </x:c>
      <x:c r="Y13" s="41" t="str">
        <x:v>Paraphrase or brief corroborating reference where it confirms a pattern or supplies a counterexample.</x:v>
      </x:c>
    </x:row>
    <x:row r="14" ht="86" customHeight="1">
      <x:c r="A14" s="41" t="str">
        <x:v>1894_0055</x:v>
      </x:c>
      <x:c r="B14" s="41" t="n">
        <x:v>1894</x:v>
      </x:c>
      <x:c r="C14" s="41" t="n">
        <x:v>1895</x:v>
      </x:c>
      <x:c r="D14" s="41" t="str">
        <x:v>housing; sanitary</x:v>
      </x:c>
      <x:c r="E14" s="41" t="str">
        <x:v>housing: overcrowded | sanitary: dirty, nuisance, sanitary</x:v>
      </x:c>
      <x:c r="F14" s="41" t="str">
        <x:v>Automated candidate categories</x:v>
      </x:c>
      <x:c r="G14" s="41" t="str">
        <x:v>5.4 Workplaces, domestic space and unequal exposure</x:v>
      </x:c>
      <x:c r="H14" s="41" t="str">
        <x:v>Indirect/material</x:v>
      </x:c>
      <x:c r="I14" s="41" t="str">
        <x:v>High</x:v>
      </x:c>
      <x:c r="J14" s="41" t="str">
        <x:v>No</x:v>
      </x:c>
      <x:c r="K14" s="41" t="str">
        <x:v>Enforcement table</x:v>
      </x:c>
      <x:c r="L14" s="41" t="str">
        <x:v>Hanbury Street</x:v>
      </x:c>
      <x:c r="M14" s="41" t="str"/>
      <x:c r="N14" s="41" t="str">
        <x:v>overcrowded; closet; ventilated; workshop; nuisance; filth; dirty</x:v>
      </x:c>
      <x:c r="O14" s="41" t="str">
        <x:v>Shows overcrowded workshops, sleeping in a bakehouse, poor ventilation and inadequate facilities for female workers.</x:v>
      </x:c>
      <x:c r="P14" s="41" t="str">
        <x:v>Yes — original page image checked</x:v>
      </x:c>
      <x:c r="Q14" s="41" t="str">
        <x:v>40</x:v>
      </x:c>
      <x:c r="R14" s="41" t="str">
        <x:v>https://wellcomelibrary.org/moh/report/b1801835x</x:v>
      </x:c>
      <x:c r="S14" s="41" t="str">
        <x:v>Summons withdrawn. 178, Hanbury Street Closet situated in workshop stopped and in a filthy state � 10th Work done. Summons withdrawn. 58, White Lion Street Workshop overcrowded � 10th Abatement and prohibition orders made. Fined �1 and �2.2s. costs. *20, White's Row Bakehouse not properly ventilated, in a filthy state, and used as a sleeping apartment � 22nd Bakehouse ordered to be closed forthwith. Fined �2 and 5s. costs. In default of distress 14 days' imprisonment. 29, Old Montague Street Workshop without sufficient and suitable accomodation in the way of sanitary conveniences, and without separate accommodation for the females employed therein, and not properly ventilated. Roof of W.C. defective. Walls of W.C. dirty June 18th Work done. Summons withdrawn, 3s. costs, paid. 126, Old Montague Street Walls and ceiling of workshop dirty. Workshop not properly ventilated � 18th Work done. Summons withdrawn, 3s. costs, paid. 41 Situation of Premises. Nature of Nuisance or Complaint. Date of hearing of Summons. Result. 1894 7, Ely Place Workshop overcrowded June 18th Fined �1 and 3s. costs. 9, Shepherd Street Workshop without sufficient and suitable accommodation in the way of sanitary conveniences, and without separate accommodation for the females employed therein � 18th Work done.</x:v>
      </x:c>
      <x:c r="T14" s="41" t="str">
        <x:v>Core</x:v>
      </x:c>
      <x:c r="U14" s="41" t="str">
        <x:v>Connects overcrowded workshops, sleeping space, ventilation and facilities for female workers.</x:v>
      </x:c>
      <x:c r="V14" s="41" t="str">
        <x:v>40</x:v>
      </x:c>
      <x:c r="W14" s="41" t="str">
        <x:v>Original scan checked</x:v>
      </x:c>
      <x:c r="X14" s="41" t="str">
        <x:v>High</x:v>
      </x:c>
      <x:c r="Y14" s="41" t="str">
        <x:v>Detailed close reading and/or a short direct quotation after page-image verification.</x:v>
      </x:c>
    </x:row>
    <x:row r="15" ht="86" customHeight="1">
      <x:c r="A15" s="41" t="str">
        <x:v>1895_0010</x:v>
      </x:c>
      <x:c r="B15" s="41" t="n">
        <x:v>1895</x:v>
      </x:c>
      <x:c r="C15" s="41" t="n">
        <x:v>1896</x:v>
      </x:c>
      <x:c r="D15" s="41" t="str">
        <x:v>governance; housing; inequality</x:v>
      </x:c>
      <x:c r="E15" s="41" t="str">
        <x:v>governance: local government board | housing: houses, overcrowding | inequality: lodging-houses</x:v>
      </x:c>
      <x:c r="F15" s="41" t="str">
        <x:v>Automated candidate categories</x:v>
      </x:c>
      <x:c r="G15" s="41" t="str">
        <x:v>5.5 Direct and indirect language of inequality</x:v>
      </x:c>
      <x:c r="H15" s="41" t="str">
        <x:v>Explicit/stigmatising social language</x:v>
      </x:c>
      <x:c r="I15" s="41" t="str">
        <x:v>High</x:v>
      </x:c>
      <x:c r="J15" s="41" t="str">
        <x:v>Yes</x:v>
      </x:c>
      <x:c r="K15" s="41" t="str">
        <x:v>Annual-report commentary</x:v>
      </x:c>
      <x:c r="L15" s="41" t="str"/>
      <x:c r="M15" s="41" t="str">
        <x:v>lowest class</x:v>
      </x:c>
      <x:c r="N15" s="41" t="str">
        <x:v>overcrowding; lodging-house; shelter</x:v>
      </x:c>
      <x:c r="O15" s="41" t="str">
        <x:v>Uses 'lowest class of persons' while presenting shelter overcrowding as a district-wide health threat.</x:v>
      </x:c>
      <x:c r="P15" s="41" t="str">
        <x:v>Yes — original page image checked</x:v>
      </x:c>
      <x:c r="Q15" s="41" t="str">
        <x:v>6</x:v>
      </x:c>
      <x:c r="R15" s="41" t="str">
        <x:v>https://wellcomelibrary.org/moh/report/b19883687</x:v>
      </x:c>
      <x:c r="S15" s="41" t="str">
        <x:v>These houses are under certain regulations which are framed under the Lodging-houses Acts. These regulations are now administered by the London County Council. It is felt that shelters which are in themselves totally unsuitable for the purpose, and into which large numbers of the lowest class of persons are crowded, must influence very adversely the health of the District generally. At present, in the absence of regulations, it would be difficult to obtain a conviction before a Magistrate in a prosecution for overcrowding, because those allowances of space which can be enforced in the case of Registered Common Lodging-houses, are thought by many to be too liberal to be applied to Philanthropic Shelters. On August the 2nd a letter was received from the Secretary of the Local Government Board addressed to your Clerk. It called attention to the fact that Small-pox was on the increase in the Metropolis, and it pointed out that the season of the year was not the season when a large increase usually took place.</x:v>
      </x:c>
      <x:c r="T15" s="41" t="str">
        <x:v>Core</x:v>
      </x:c>
      <x:c r="U15" s="41" t="str">
        <x:v>Strong evidence of explicit and stigmatising social classification in the discussion of shelter overcrowding.</x:v>
      </x:c>
      <x:c r="V15" s="41" t="str">
        <x:v>6</x:v>
      </x:c>
      <x:c r="W15" s="41" t="str">
        <x:v>Original scan checked</x:v>
      </x:c>
      <x:c r="X15" s="41" t="str">
        <x:v>High</x:v>
      </x:c>
      <x:c r="Y15" s="41" t="str">
        <x:v>Detailed close reading and/or a short direct quotation after page-image verification.</x:v>
      </x:c>
    </x:row>
    <x:row r="16" ht="86" customHeight="1">
      <x:c r="A16" s="41" t="str">
        <x:v>1895_0075</x:v>
      </x:c>
      <x:c r="B16" s="41" t="n">
        <x:v>1895</x:v>
      </x:c>
      <x:c r="C16" s="41" t="n">
        <x:v>1896</x:v>
      </x:c>
      <x:c r="D16" s="41" t="str">
        <x:v>housing; sanitary</x:v>
      </x:c>
      <x:c r="E16" s="41" t="str">
        <x:v>housing: overcrowded | sanitary: drain, nuisance, sanitary, water supply</x:v>
      </x:c>
      <x:c r="F16" s="41" t="str">
        <x:v>Automated candidate categories</x:v>
      </x:c>
      <x:c r="G16" s="41" t="str">
        <x:v>5.4 Workplaces, domestic space and unequal exposure</x:v>
      </x:c>
      <x:c r="H16" s="41" t="str">
        <x:v>Indirect/material</x:v>
      </x:c>
      <x:c r="I16" s="41" t="str">
        <x:v>High</x:v>
      </x:c>
      <x:c r="J16" s="41" t="str">
        <x:v>No</x:v>
      </x:c>
      <x:c r="K16" s="41" t="str">
        <x:v>Enforcement table</x:v>
      </x:c>
      <x:c r="L16" s="41" t="str">
        <x:v>Hanbury Street</x:v>
      </x:c>
      <x:c r="M16" s="41" t="str"/>
      <x:c r="N16" s="41" t="str">
        <x:v>overcrowded; drain; water supply; water closet; closet; ventilated; workshop; nuisance</x:v>
      </x:c>
      <x:c r="O16" s="41" t="str">
        <x:v>Links workshop overcrowding, ventilation, light, drainage and sanitary conveniences to closure and abatement orders.</x:v>
      </x:c>
      <x:c r="P16" s="41" t="str">
        <x:v>Yes — original page image checked</x:v>
      </x:c>
      <x:c r="Q16" s="41" t="str">
        <x:v>45–46</x:v>
      </x:c>
      <x:c r="R16" s="41" t="str">
        <x:v>https://wellcomelibrary.org/moh/report/b19883687</x:v>
      </x:c>
      <x:c r="S16" s="41" t="str">
        <x:v>Workshop not properly ventilated � 31st Order to carry out necessary works within 14 days. 141, Hanbury Street Workshop without sufficient and suitable accommodation in the way of sanitary conveniences. Workshop overcrowded and not properly ventilated ,, 31st Order to carry out necessary works within 14 days 62, Cbicksand Street Workshop without sufficient and suitable accommodation in the way of sanitary conveniences. Workshop not properly ventilated � 31st Order to close Workshop within 14 days. 46 Situation of Premises. Nature of Nuisance or Complaint. Date of hearing of Summons. Result. 20, Osborn Street Water closets choked and without proper water supply. Drain in yard not properly trapped. Yard defectively paved 1895. July 31st Order to abate nuisance within 14 days. 22, Heneage Street Workshop not properly ventilated and without sufficient light � 31st Order to close Workshop within 14 days. 20, Corbett's Court Workshops overcrowded and not properly ventilated, and without sufficient and suitable accommodation in the way of sanitary conveniences � 31st Order to close Workshop within 14 days. 80, Pelham Street Selling to a person 30 bags of onions unfit for human food ,, 31st Fined �5. In default of distress one month's imprisonment. Cobb's Yard For having a large quantity of onions deposited in a shed for the purpose of sale � 31st Summons dismissed.</x:v>
      </x:c>
      <x:c r="T16" s="41" t="str">
        <x:v>Core</x:v>
      </x:c>
      <x:c r="U16" s="41" t="str">
        <x:v>Shows how workplace conditions were converted into closure and abatement actions.</x:v>
      </x:c>
      <x:c r="V16" s="41" t="str">
        <x:v>45</x:v>
      </x:c>
      <x:c r="W16" s="41" t="str">
        <x:v>Original scan checked</x:v>
      </x:c>
      <x:c r="X16" s="41" t="str">
        <x:v>High</x:v>
      </x:c>
      <x:c r="Y16" s="41" t="str">
        <x:v>Detailed close reading and/or a short direct quotation after page-image verification.</x:v>
      </x:c>
    </x:row>
    <x:row r="17" ht="86" customHeight="1">
      <x:c r="A17" s="41" t="str">
        <x:v>1896_0021</x:v>
      </x:c>
      <x:c r="B17" s="41" t="n">
        <x:v>1896</x:v>
      </x:c>
      <x:c r="C17" s="41" t="n">
        <x:v>1897</x:v>
      </x:c>
      <x:c r="D17" s="41" t="str">
        <x:v>housing; inequality</x:v>
      </x:c>
      <x:c r="E17" s="41" t="str">
        <x:v>housing: dwellings | inequality: poor</x:v>
      </x:c>
      <x:c r="F17" s="41" t="str">
        <x:v>Automated candidate categories</x:v>
      </x:c>
      <x:c r="G17" s="41" t="str">
        <x:v>5.5 Direct and indirect language of inequality</x:v>
      </x:c>
      <x:c r="H17" s="41" t="str">
        <x:v>Explicit social language</x:v>
      </x:c>
      <x:c r="I17" s="41" t="str">
        <x:v>High</x:v>
      </x:c>
      <x:c r="J17" s="41" t="str">
        <x:v>Yes</x:v>
      </x:c>
      <x:c r="K17" s="41" t="str">
        <x:v>Annual-report commentary / court quotation</x:v>
      </x:c>
      <x:c r="L17" s="41" t="str"/>
      <x:c r="M17" s="41" t="str">
        <x:v>poor</x:v>
      </x:c>
      <x:c r="N17" s="41" t="str">
        <x:v>closet</x:v>
      </x:c>
      <x:c r="O17" s="41" t="str">
        <x:v>Provides a dispute involving the Mansion House Council on the Dwellings of the Poor and the Board's defensive presentation of enforcement.</x:v>
      </x:c>
      <x:c r="P17" s="41" t="str">
        <x:v>Needs recheck</x:v>
      </x:c>
      <x:c r="Q17" s="41" t="str">
        <x:v>10</x:v>
      </x:c>
      <x:c r="R17" s="41" t="str">
        <x:v>https://wellcomelibrary.org/moh/report/b18038244</x:v>
      </x:c>
      <x:c r="S17" s="41" t="str">
        <x:v>As an illustration, you may remember how the Mansion House Council on the Dwellings of the Poor, through their local agent, proceeded against the owners of Booth Street Buildings under the Public Health (London) Act, 1891. It was alleged that your Officers had not performed their duty. The case was heard upon two occasions by Mr. Cluer at the Worship Street Police Court. The evidence for the prosecution was heard by me with great astonishment. I was present upon subpoena and gave evidence. The best comment upon the whole case is the summing up of the learned magistrate which I introduce here. "I do not see I have any option but "to dismiss this summons, I shall not be entitled to make an order "against the owner of these premises, unless they were in such a state as "to be injurious to health, and that was in the information set out. "With reference to the water-closets, the evidence as to that satisfies me "that though not perhaps such as would be seen in King's Palaces, at "the same time it is said by Dr.</x:v>
      </x:c>
      <x:c r="T17" s="41" t="str">
        <x:v>Supporting</x:v>
      </x:c>
      <x:c r="U17" s="41" t="str">
        <x:v>Provides supporting evidence of contest over poor housing and the Board's defensive account of enforcement.</x:v>
      </x:c>
      <x:c r="V17" s="41" t="str">
        <x:v>10</x:v>
      </x:c>
      <x:c r="W17" s="41" t="str">
        <x:v>Official downloaded full-text OCR and page markers reviewed; page-image verification remains pending.</x:v>
      </x:c>
      <x:c r="X17" s="41" t="str">
        <x:v>High</x:v>
      </x:c>
      <x:c r="Y17" s="41" t="str">
        <x:v>Paraphrase or brief corroborating reference where it confirms a pattern or supplies a counterexample.</x:v>
      </x:c>
    </x:row>
    <x:row r="18" ht="86" customHeight="1">
      <x:c r="A18" s="41" t="str">
        <x:v>1896_0029</x:v>
      </x:c>
      <x:c r="B18" s="41" t="n">
        <x:v>1896</x:v>
      </x:c>
      <x:c r="C18" s="41" t="n">
        <x:v>1897</x:v>
      </x:c>
      <x:c r="D18" s="41" t="str">
        <x:v>housing; inequality; sanitary</x:v>
      </x:c>
      <x:c r="E18" s="41" t="str">
        <x:v>housing: houses | inequality: infirmary, lodging-houses | sanitary: drainage, sanitary</x:v>
      </x:c>
      <x:c r="F18" s="41" t="str">
        <x:v>Automated candidate categories</x:v>
      </x:c>
      <x:c r="G18" s="41" t="str">
        <x:v>5.2 Housing, overcrowding and insanitary premises</x:v>
      </x:c>
      <x:c r="H18" s="41" t="str">
        <x:v>Indirect/institutional</x:v>
      </x:c>
      <x:c r="I18" s="41" t="str">
        <x:v>Medium</x:v>
      </x:c>
      <x:c r="J18" s="41" t="str">
        <x:v>No</x:v>
      </x:c>
      <x:c r="K18" s="41" t="str">
        <x:v>Annual-report commentary leading into table</x:v>
      </x:c>
      <x:c r="L18" s="41" t="str"/>
      <x:c r="M18" s="41" t="str"/>
      <x:c r="N18" s="41" t="str">
        <x:v>drainage; drain; single room; lodging-house</x:v>
      </x:c>
      <x:c r="O18" s="41" t="str">
        <x:v>Connects single-room occupation, mortuary use, common lodging houses, institutional admissions and drainage improvements.</x:v>
      </x:c>
      <x:c r="P18" s="41" t="str">
        <x:v>Needs recheck</x:v>
      </x:c>
      <x:c r="Q18" s="41" t="str">
        <x:v>12–13</x:v>
      </x:c>
      <x:c r="R18" s="41" t="str">
        <x:v>https://wellcomelibrary.org/moh/report/b18038244</x:v>
      </x:c>
      <x:c r="S18" s="41" t="str">
        <x:v>A large number of the cases belonged to persons occupying only a single room. The Mortuary therefore has been a practical help in the sanitary work of the District. This remark applies both to the Jewish and general inhabitants, for all classes can and do avail themselves of the advantages of the building. At a recent meeting of the Sanitary Committee a Member called attention to the good work being performed by the Mortuary Keepers. I desire to endorse the commendation most heartily. 13 In again drawing attention to the Registered Common Lodging-Houses within the District I have little to add to the statement contained in my last Report. The London County Council's Officers are carefully going over the Houses, and improving the drainage connected with them. Your Officers assist so far as to overlook the work during its progress. For reference and comparison purpose I here introduce the customary information appertaining to this class of property:- 1896. Registered Common LodgingHouses. No. of Admissions to Infirmary. Registered Common LodingHouses. No. of Admissions to Infirmary.</x:v>
      </x:c>
      <x:c r="T18" s="41" t="str">
        <x:v>Supporting</x:v>
      </x:c>
      <x:c r="U18" s="41" t="str">
        <x:v>Useful contextual support for single-room occupation, lodging houses, institutions and drainage.</x:v>
      </x:c>
      <x:c r="V18" s="41" t="str">
        <x:v>12</x:v>
      </x:c>
      <x:c r="W18" s="41" t="str">
        <x:v>Official downloaded full-text OCR and page markers reviewed; page-image verification remains pending.</x:v>
      </x:c>
      <x:c r="X18" s="41" t="str">
        <x:v>High</x:v>
      </x:c>
      <x:c r="Y18" s="41" t="str">
        <x:v>Paraphrase or brief corroborating reference where it confirms a pattern or supplies a counterexample.</x:v>
      </x:c>
    </x:row>
    <x:row r="19" ht="86" customHeight="1">
      <x:c r="A19" s="41" t="str">
        <x:v>1897_0007</x:v>
      </x:c>
      <x:c r="B19" s="41" t="n">
        <x:v>1897</x:v>
      </x:c>
      <x:c r="C19" s="41" t="n">
        <x:v>1898</x:v>
      </x:c>
      <x:c r="D19" s="41" t="str">
        <x:v>disease; housing; inequality; sanitary</x:v>
      </x:c>
      <x:c r="E19" s="41" t="str">
        <x:v>disease: diphtheria, scarlet fever | housing: dwellings, houses, model dwellings, rooms | inequality: working classes | sanitary: sanitation</x:v>
      </x:c>
      <x:c r="F19" s="41" t="str">
        <x:v>Automated candidate categories</x:v>
      </x:c>
      <x:c r="G19" s="41" t="str">
        <x:v>5.4 Workplaces, domestic space and unequal exposure</x:v>
      </x:c>
      <x:c r="H19" s="41" t="str">
        <x:v>Mixed</x:v>
      </x:c>
      <x:c r="I19" s="41" t="str">
        <x:v>High</x:v>
      </x:c>
      <x:c r="J19" s="41" t="str">
        <x:v>No</x:v>
      </x:c>
      <x:c r="K19" s="41" t="str">
        <x:v>Annual-report analytical commentary</x:v>
      </x:c>
      <x:c r="L19" s="41" t="str"/>
      <x:c r="M19" s="41" t="str">
        <x:v>working class; working classes</x:v>
      </x:c>
      <x:c r="N19" s="41" t="str">
        <x:v>rooms; cistern</x:v>
      </x:c>
      <x:c r="O19" s="41" t="str">
        <x:v>Connects dwelling layout, children's use of shared passages, disease transmission, land values and water storage in working-class model dwellings.</x:v>
      </x:c>
      <x:c r="P19" s="41" t="str">
        <x:v>Needs recheck</x:v>
      </x:c>
      <x:c r="Q19" s="41" t="str">
        <x:v>4–5</x:v>
      </x:c>
      <x:c r="R19" s="41" t="str">
        <x:v>https://wellcomelibrary.org/moh/report/b19883699</x:v>
      </x:c>
      <x:c r="S19" s="41" t="str">
        <x:v>A staircase leading to a corridor which affords access to many rooms more easily facilitates the spread of disease than in the case of tenements which are more separated. It may also be said that as the staircases and passages frequently have to constitute the playground of the children, another factor is imported to account for the spread of disease. I have collected evidence which supports my opinion that both scarlet fever and diphtheria evince a marked tendency to appear in families who occupy rooms which are adjacent to other rooms where the disease has already appeared. Small houses, with rooms which can be entered from independent staircases commend themselves to my mind as far preferable from many points of view, as dwellings for the working classes; it is 5 certain, however, that owing to the increasing value of land in the Metropolis this desideratum is not yet to be attained. The height too of these modern model dwellings stands in the way of furnishing them with a constant supply of drinking water, The water must, therefore, be stored in cisterns of sufficient capacity to supply all but the lower floors, and this arrangement certainly is not in the direction of improved sanitation.</x:v>
      </x:c>
      <x:c r="T19" s="41" t="str">
        <x:v>Supporting</x:v>
      </x:c>
      <x:c r="U19" s="41" t="str">
        <x:v>Broad supporting passage linking dwelling design, child circulation, infection, land values and working-class provision.</x:v>
      </x:c>
      <x:c r="V19" s="41" t="str">
        <x:v>4–5</x:v>
      </x:c>
      <x:c r="W19" s="41" t="str">
        <x:v>Official downloaded full-text OCR and page markers reviewed; page-image verification remains pending.</x:v>
      </x:c>
      <x:c r="X19" s="41" t="str">
        <x:v>High</x:v>
      </x:c>
      <x:c r="Y19" s="41" t="str">
        <x:v>Paraphrase or brief corroborating reference where it confirms a pattern or supplies a counterexample.</x:v>
      </x:c>
    </x:row>
    <x:row r="20" ht="86" customHeight="1">
      <x:c r="A20" s="41" t="str">
        <x:v>1897_0024</x:v>
      </x:c>
      <x:c r="B20" s="41" t="n">
        <x:v>1897</x:v>
      </x:c>
      <x:c r="C20" s="41" t="n">
        <x:v>1898</x:v>
      </x:c>
      <x:c r="D20" s="41" t="str">
        <x:v>governance; inequality; sanitary</x:v>
      </x:c>
      <x:c r="E20" s="41" t="str">
        <x:v>governance: board | inequality: working classes | sanitary: water supply</x:v>
      </x:c>
      <x:c r="F20" s="41" t="str">
        <x:v>Automated candidate categories</x:v>
      </x:c>
      <x:c r="G20" s="41" t="str">
        <x:v>5.2 Housing, overcrowding and insanitary premises</x:v>
      </x:c>
      <x:c r="H20" s="41" t="str">
        <x:v>Administrative/legal category</x:v>
      </x:c>
      <x:c r="I20" s="41" t="str">
        <x:v>High</x:v>
      </x:c>
      <x:c r="J20" s="41" t="str">
        <x:v>Yes</x:v>
      </x:c>
      <x:c r="K20" s="41" t="str">
        <x:v>Annual-report commentary / quoted proposal</x:v>
      </x:c>
      <x:c r="L20" s="41" t="str"/>
      <x:c r="M20" s="41" t="str">
        <x:v>working class; working classes</x:v>
      </x:c>
      <x:c r="N20" s="41" t="str">
        <x:v>water supply</x:v>
      </x:c>
      <x:c r="O20" s="41" t="str">
        <x:v>Records continued delay in the Bell Lane scheme and states that the area remained 'in a worse state than ever'.</x:v>
      </x:c>
      <x:c r="P20" s="41" t="str">
        <x:v>Yes — original page image checked</x:v>
      </x:c>
      <x:c r="Q20" s="41" t="str">
        <x:v>11</x:v>
      </x:c>
      <x:c r="R20" s="41" t="str">
        <x:v>https://wellcomelibrary.org/moh/report/b19883699</x:v>
      </x:c>
      <x:c r="S20" s="41" t="str">
        <x:v>In the event, however, of an arrangement not being come to on "this point, we propose that the Council should ce-operate with Sir A. Osborn by "putting in force the provisions of the Housing of the Working Classes Act, 1890, "with a view to acquiring compulsorily suoh of the leasehold interests as he may "be unable to obtain possession of within a reasonable time, the Council being "reimbursed the cost of such acquisition." Then follows some details as to the prices agreed upon, and the proposed recommendation to the Council. I quite expected to have seen some evidence before now that the " Bell Lane area " scheme was at last likely to be an accomplished fact�but whatever the cause of the delay may be at present, the area remains in a worse state than ever. I am afraid it will be necessary for me to ask the Board to intervene with regard to some parts of the area. I do not propose to say much about the water supply in the District as a Royal Commission is now enquiring into the whole matter of the Metropolitan Water Supply.</x:v>
      </x:c>
      <x:c r="T20" s="41" t="str">
        <x:v>Core</x:v>
      </x:c>
      <x:c r="U20" s="41" t="str">
        <x:v>Shows how delay in an improvement scheme left an identified housing area in worsening condition.</x:v>
      </x:c>
      <x:c r="V20" s="41" t="str">
        <x:v>11</x:v>
      </x:c>
      <x:c r="W20" s="41" t="str">
        <x:v>Original scan checked</x:v>
      </x:c>
      <x:c r="X20" s="41" t="str">
        <x:v>High</x:v>
      </x:c>
      <x:c r="Y20" s="41" t="str">
        <x:v>Detailed close reading and/or a short direct quotation after page-image verification.</x:v>
      </x:c>
    </x:row>
    <x:row r="21" ht="86" customHeight="1">
      <x:c r="A21" s="41" t="str">
        <x:v>1898_0008</x:v>
      </x:c>
      <x:c r="B21" s="41" t="n">
        <x:v>1898</x:v>
      </x:c>
      <x:c r="C21" s="41" t="n">
        <x:v>1899</x:v>
      </x:c>
      <x:c r="D21" s="41" t="str">
        <x:v>governance; inequality; sanitary</x:v>
      </x:c>
      <x:c r="E21" s="41" t="str">
        <x:v>governance: board, notices | inequality: poor, poorer | sanitary: drains, nuisance, water supply</x:v>
      </x:c>
      <x:c r="F21" s="41" t="str">
        <x:v>Automated candidate categories</x:v>
      </x:c>
      <x:c r="G21" s="41" t="str">
        <x:v>5.3 Drainage, water supply and material sanitation</x:v>
      </x:c>
      <x:c r="H21" s="41" t="str">
        <x:v>Explicit social language</x:v>
      </x:c>
      <x:c r="I21" s="41" t="str">
        <x:v>High</x:v>
      </x:c>
      <x:c r="J21" s="41" t="str">
        <x:v>No</x:v>
      </x:c>
      <x:c r="K21" s="41" t="str">
        <x:v>Annual-report emergency-response commentary</x:v>
      </x:c>
      <x:c r="L21" s="41" t="str"/>
      <x:c r="M21" s="41" t="str">
        <x:v>poor; poorer</x:v>
      </x:c>
      <x:c r="N21" s="41" t="str">
        <x:v>drain; water supply; water closet; closet; nuisance</x:v>
      </x:c>
      <x:c r="O21" s="41" t="str">
        <x:v>Directly connects poorer inhabitants' inability to store water with blocked closets, foul drains and official household visits.</x:v>
      </x:c>
      <x:c r="P21" s="41" t="str">
        <x:v>Yes — original page image checked</x:v>
      </x:c>
      <x:c r="Q21" s="41" t="str">
        <x:v>5</x:v>
      </x:c>
      <x:c r="R21" s="41" t="str">
        <x:v>https://wellcomelibrary.org/moh/report/b19883705</x:v>
      </x:c>
      <x:c r="S21" s="41" t="str">
        <x:v>Stand pipes for the supply of water were erected in prominent places. Street watering and gulley flushing ceased to take place with East London Water�but water from the New River, as well as from the well in the Destructor Yard was freely used for these purposes. The East London Waterworks Company arranged to supply the Board with as many stone jars as should be required for distribution among the poorer inhabitants who were unable to store water for drinking purposes. Notices were printed and distributed throughout the District informing the inhabitants of the hours when the Company had arranged to turn on the water, and also stating that application could be made at the Offices of the Board by persons who required jars. The reason for the latter notice was to enable the Inspectors to visit the homes of applicants, to get information at once of any nuisance which might arise through the limitation of the Water Supply. It soon became apparent that the pans of water closets in the homes of the poor were liable to become choked, and that the house drains became foul where they were used by many people.</x:v>
      </x:c>
      <x:c r="T21" s="41" t="str">
        <x:v>Core</x:v>
      </x:c>
      <x:c r="U21" s="41" t="str">
        <x:v>Links poorer inhabitants' limited storage capacity to blocked closets, foul drains and emergency intervention.</x:v>
      </x:c>
      <x:c r="V21" s="41" t="str">
        <x:v>5</x:v>
      </x:c>
      <x:c r="W21" s="41" t="str">
        <x:v>Original scan checked</x:v>
      </x:c>
      <x:c r="X21" s="41" t="str">
        <x:v>High</x:v>
      </x:c>
      <x:c r="Y21" s="41" t="str">
        <x:v>Detailed close reading and/or a short direct quotation after page-image verification.</x:v>
      </x:c>
    </x:row>
    <x:row r="22" ht="86" customHeight="1">
      <x:c r="A22" s="41" t="str">
        <x:v>1898_0009</x:v>
      </x:c>
      <x:c r="B22" s="41" t="n">
        <x:v>1898</x:v>
      </x:c>
      <x:c r="C22" s="41" t="n">
        <x:v>1899</x:v>
      </x:c>
      <x:c r="D22" s="41" t="str">
        <x:v>disease; housing; inequality; sanitary</x:v>
      </x:c>
      <x:c r="E22" s="41" t="str">
        <x:v>disease: notification | housing: houses | inequality: poorest | sanitary: water supply</x:v>
      </x:c>
      <x:c r="F22" s="41" t="str">
        <x:v>Automated candidate categories (dictionary-synchronised)</x:v>
      </x:c>
      <x:c r="G22" s="41" t="str">
        <x:v>5.3 Drainage, water supply and material sanitation</x:v>
      </x:c>
      <x:c r="H22" s="41" t="str">
        <x:v>Explicit social language</x:v>
      </x:c>
      <x:c r="I22" s="41" t="str">
        <x:v>High</x:v>
      </x:c>
      <x:c r="J22" s="41" t="str">
        <x:v>No</x:v>
      </x:c>
      <x:c r="K22" s="41" t="str">
        <x:v>Annual-report emergency-response commentary</x:v>
      </x:c>
      <x:c r="L22" s="41" t="str"/>
      <x:c r="M22" s="41" t="str">
        <x:v>poor; poorest</x:v>
      </x:c>
      <x:c r="N22" s="41" t="str">
        <x:v>water supply; water closet; closet</x:v>
      </x:c>
      <x:c r="O22" s="41" t="str">
        <x:v>Supplementary scan: describes daily water and disinfection services to nearly 300 houses occupied by the 'poorest people'.</x:v>
      </x:c>
      <x:c r="P22" s="41" t="str">
        <x:v>Yes — original page image checked</x:v>
      </x:c>
      <x:c r="Q22" s="41" t="str">
        <x:v>5</x:v>
      </x:c>
      <x:c r="R22" s="41" t="str">
        <x:v>https://wellcomelibrary.org/moh/report/b19883705</x:v>
      </x:c>
      <x:c r="S22" s="41" t="str">
        <x:v>With the co-operation of the Surveyor, after a consultation with that gentleman and with the Clerks, it was arranged that water vans should be employed to take water to those houses which required it, and that regular daily flushing of water closets of such houses should be carried out. From this time until the Company renewed the constant water supply, nine men were constantly employed with three water vans in carrying on this useful work Each closet which was discovered to be choked, was cleared by means of a plunger, then pails of water were dashed down, and disinfectants were also freely used. Constant service was resumed on the 12th of December, a nine hours supply having taken place on November 23rd. In addition to the above measures, disinfection was regularly performed with per-chloride solution by an additional man. The water closets connected with nearly 300 of the houses occupied by the poorest people were thus daily treated. Whether these precautions limited the number of Infectious cases it is of course impossible to say, but it is interesting to note that the fees paid during the third quarter, for the notification of such diseases, were the lowest since any record has been kept.</x:v>
      </x:c>
      <x:c r="T22" s="41" t="str">
        <x:v>Core</x:v>
      </x:c>
      <x:c r="U22" s="41" t="str">
        <x:v>Shows direct identification of the poorest residents within a material programme of water and disinfection services.</x:v>
      </x:c>
      <x:c r="V22" s="41" t="str">
        <x:v>5</x:v>
      </x:c>
      <x:c r="W22" s="41" t="str">
        <x:v>Original scan checked</x:v>
      </x:c>
      <x:c r="X22" s="41" t="str">
        <x:v>High</x:v>
      </x:c>
      <x:c r="Y22" s="41" t="str">
        <x:v>Detailed close reading and/or a short direct quotation after page-image verification.</x:v>
      </x:c>
    </x:row>
    <x:row r="23" ht="86" customHeight="1">
      <x:c r="A23" s="41" t="str">
        <x:v>1899_0002</x:v>
      </x:c>
      <x:c r="B23" s="41" t="n">
        <x:v>1899</x:v>
      </x:c>
      <x:c r="C23" s="41" t="n">
        <x:v>1900</x:v>
      </x:c>
      <x:c r="D23" s="41" t="str">
        <x:v>governance; housing; inequality</x:v>
      </x:c>
      <x:c r="E23" s="41" t="str">
        <x:v>governance: board, medical officer | housing: dwellings, houses | inequality: working classes</x:v>
      </x:c>
      <x:c r="F23" s="41" t="str">
        <x:v>Automated candidate categories</x:v>
      </x:c>
      <x:c r="G23" s="41" t="str">
        <x:v>5.2 Housing, overcrowding and insanitary premises</x:v>
      </x:c>
      <x:c r="H23" s="41" t="str">
        <x:v>Mixed</x:v>
      </x:c>
      <x:c r="I23" s="41" t="str">
        <x:v>Medium</x:v>
      </x:c>
      <x:c r="J23" s="41" t="str">
        <x:v>Yes</x:v>
      </x:c>
      <x:c r="K23" s="41" t="str">
        <x:v>Retrospective annual-report commentary</x:v>
      </x:c>
      <x:c r="L23" s="41" t="str"/>
      <x:c r="M23" s="41" t="str">
        <x:v>working class; working classes; foreign population</x:v>
      </x:c>
      <x:c r="N23" s="41" t="str"/>
      <x:c r="O23" s="41" t="str">
        <x:v>Presents an official narrative of improved working-class housing alongside demographic and national change.</x:v>
      </x:c>
      <x:c r="P23" s="41" t="str">
        <x:v>Needs recheck</x:v>
      </x:c>
      <x:c r="Q23" s="41" t="str">
        <x:v>3</x:v>
      </x:c>
      <x:c r="R23" s="41" t="str">
        <x:v>https://wellcomelibrary.org/moh/report/b19883717</x:v>
      </x:c>
      <x:c r="S23" s="41" t="str">
        <x:v>Many houses existed in the year 1883 which have been replaced by dwellings better suited for occupation by the Working Classes. Under the provisions of the Artizans and Labourers' Dwellings Acts a good deal of vacant land existed upon which now stand dwellings which afford a splendid contrast to those which formerly existed. Not only have many parts of the District became thus changed, but the population as well have become altered in character and in nationality. As it is possible that this may be my last Annual Health Report (it certainly will be my last as the Medical Officer of your Board) I thought that it would be interesting to most members, and perhaps it might afford information to some, if I were to devote a few lines, and also a comprehensive Table, to explain some of those changes which have taken place. The Census Returns of 1891 gave evidence of the enormous increase in the Foreign population which had taken place during the preceding ten years. In my opinion that increase has been maintained.</x:v>
      </x:c>
      <x:c r="T23" s="41" t="str">
        <x:v>Supporting</x:v>
      </x:c>
      <x:c r="U23" s="41" t="str">
        <x:v>Provides a retrospective official narrative of working-class housing improvement for comparison with stronger critical evidence.</x:v>
      </x:c>
      <x:c r="V23" s="41" t="str">
        <x:v>3</x:v>
      </x:c>
      <x:c r="W23" s="41" t="str">
        <x:v>Official downloaded full-text OCR and page markers reviewed; page-image verification remains pending.</x:v>
      </x:c>
      <x:c r="X23" s="41" t="str">
        <x:v>High</x:v>
      </x:c>
      <x:c r="Y23" s="41" t="str">
        <x:v>Paraphrase or brief corroborating reference where it confirms a pattern or supplies a counterexample.</x:v>
      </x:c>
    </x:row>
    <x:row r="24" ht="86" customHeight="1">
      <x:c r="A24" s="41" t="str">
        <x:v>1899_0003</x:v>
      </x:c>
      <x:c r="B24" s="41" t="n">
        <x:v>1899</x:v>
      </x:c>
      <x:c r="C24" s="41" t="n">
        <x:v>1900</x:v>
      </x:c>
      <x:c r="D24" s="41" t="str">
        <x:v>governance; housing</x:v>
      </x:c>
      <x:c r="E24" s="41" t="str">
        <x:v>governance: board, local government board | housing: houses</x:v>
      </x:c>
      <x:c r="F24" s="41" t="str">
        <x:v>Supplementary manual social-language scan</x:v>
      </x:c>
      <x:c r="G24" s="41" t="str">
        <x:v>5.5 Direct and indirect language of inequality</x:v>
      </x:c>
      <x:c r="H24" s="41" t="str">
        <x:v>Explicit social group</x:v>
      </x:c>
      <x:c r="I24" s="41" t="str">
        <x:v>High</x:v>
      </x:c>
      <x:c r="J24" s="41" t="str">
        <x:v>Yes</x:v>
      </x:c>
      <x:c r="K24" s="41" t="str">
        <x:v>Annual-report commentary</x:v>
      </x:c>
      <x:c r="L24" s="41" t="str"/>
      <x:c r="M24" s="41" t="str">
        <x:v>foreign population</x:v>
      </x:c>
      <x:c r="N24" s="41" t="str"/>
      <x:c r="O24" s="41" t="str">
        <x:v>Supplementary scan: attributes sanitary problems to owners and tenants in 'Foreign portions' while identifying a regulatory exemption.</x:v>
      </x:c>
      <x:c r="P24" s="41" t="str">
        <x:v>Yes — original page image checked</x:v>
      </x:c>
      <x:c r="Q24" s="41" t="str">
        <x:v>3–4</x:v>
      </x:c>
      <x:c r="R24" s="41" t="str">
        <x:v>https://wellcomelibrary.org/moh/report/b19883717</x:v>
      </x:c>
      <x:c r="S24" s="41" t="str">
        <x:v>At the present time a stranger might readily imagine some parts of our District to belong to a Continental City. The general result from a Public Health point of view of this increase in the Foreign population has been to call for much greater vigilance on the part of your Officers, for I am compelled to admit that neither the owners of houses in the Foreign portions of the District, nor the Tenants themselves, are inclined voluntarily to exert themselves to maintain their property in the best approved condition. It was at first thought that the Public Health (London) Act, 1891, Sec. 94, would have proved most useful in this direction. I anticipated when that class of property which I am now considering was registered, that it would become a simple matter to enforce the provisions of the byelaws which were made under that Section, and which were approved by the Local Government Board. There was a stumbling-block, however, in the exemption clause which permitted the very places to escape registration for which the clause had evidently been framed, merely because higher rents were imposed than allowed them to be included upon the Register for "Houses let in Lodgings and occupied by members of more than one Family." 4 Your Board recently had this question under discussion.</x:v>
      </x:c>
      <x:c r="T24" s="41" t="str">
        <x:v>Core</x:v>
      </x:c>
      <x:c r="U24" s="41" t="str">
        <x:v>Shows explicit national and ethnic categorisation and attribution of sanitary conduct, alongside a regulatory exemption.</x:v>
      </x:c>
      <x:c r="V24" s="41" t="str">
        <x:v>3</x:v>
      </x:c>
      <x:c r="W24" s="41" t="str">
        <x:v>Original scan checked</x:v>
      </x:c>
      <x:c r="X24" s="41" t="str">
        <x:v>High</x:v>
      </x:c>
      <x:c r="Y24" s="41" t="str">
        <x:v>Detailed close reading and/or a short direct quotation after page-image verification.</x:v>
      </x:c>
    </x:row>
    <x:row r="25" ht="86" customHeight="1">
      <x:c r="A25" s="41" t="str">
        <x:v>1899_0038</x:v>
      </x:c>
      <x:c r="B25" s="41" t="n">
        <x:v>1899</x:v>
      </x:c>
      <x:c r="C25" s="41" t="n">
        <x:v>1900</x:v>
      </x:c>
      <x:c r="D25" s="41" t="str">
        <x:v>governance; housing; inequality</x:v>
      </x:c>
      <x:c r="E25" s="41" t="str">
        <x:v>governance: board | housing: dwellings, houses, model dwellings | inequality: working classes</x:v>
      </x:c>
      <x:c r="F25" s="41" t="str">
        <x:v>Automated candidate categories</x:v>
      </x:c>
      <x:c r="G25" s="41" t="str">
        <x:v>5.2 Housing, overcrowding and insanitary premises</x:v>
      </x:c>
      <x:c r="H25" s="41" t="str">
        <x:v>Mixed</x:v>
      </x:c>
      <x:c r="I25" s="41" t="str">
        <x:v>High</x:v>
      </x:c>
      <x:c r="J25" s="41" t="str">
        <x:v>Yes</x:v>
      </x:c>
      <x:c r="K25" s="41" t="str">
        <x:v>Retrospective memorandum/commentary</x:v>
      </x:c>
      <x:c r="L25" s="41" t="str">
        <x:v>Flower and Dean Street; Thrawl Street</x:v>
      </x:c>
      <x:c r="M25" s="41" t="str">
        <x:v>working class; working classes</x:v>
      </x:c>
      <x:c r="N25" s="41" t="str"/>
      <x:c r="O25" s="41" t="str">
        <x:v>Allows comparison between official claims of improved accommodation and evidence of displacement, scattering and conversion to warehouses.</x:v>
      </x:c>
      <x:c r="P25" s="41" t="str">
        <x:v>Yes — original page image checked</x:v>
      </x:c>
      <x:c r="Q25" s="41" t="str">
        <x:v>18</x:v>
      </x:c>
      <x:c r="R25" s="41" t="str">
        <x:v>https://wellcomelibrary.org/moh/report/b19883717</x:v>
      </x:c>
      <x:c r="S25" s="41" t="str">
        <x:v>Various Blocks of Model Dwellings have been erected upon land which, although vacant for some years, had originally houses upon it in such a condition as to cause the Metropolitan Board of Works to invoke Cross' Act to clear it. I allude to Flower and Dean Street, Thrawl Street, &amp;c. Then, again, some houseB have been purchased for Commercial purposes, and Warehouses already take the place of Dwellings�such as the Wool Warehouses and Messrs. Kinloch's Warehouse in Back Church Lane. Again, over 300 persons have vacated in the past few months houses which were in Courts in Back Church Lane ; here, vacant ground remains which probably will soon have Warehouses erected upon it. About 800 persons who occupied the 120 houses in the Bell Lane area have become scattered�although probably in a few months provision will be made to re-house as many, or perhaps more. In this work of improvement the London County Council have assisted. On the whole it is clear that more accommodation now exists for the working classes in the Whitechapel District than was the case before these changes took place.</x:v>
      </x:c>
      <x:c r="T25" s="41" t="str">
        <x:v>Core</x:v>
      </x:c>
      <x:c r="U25" s="41" t="str">
        <x:v>Tests improvement claims against displacement, dispersal and conversion of former residential sites.</x:v>
      </x:c>
      <x:c r="V25" s="41" t="str">
        <x:v>18</x:v>
      </x:c>
      <x:c r="W25" s="41" t="str">
        <x:v>Original scan checked</x:v>
      </x:c>
      <x:c r="X25" s="41" t="str">
        <x:v>High</x:v>
      </x:c>
      <x:c r="Y25" s="41" t="str">
        <x:v>Detailed close reading and/or a short direct quotation after page-image verification.</x:v>
      </x:c>
    </x:row>
  </x:sheetData>
  <x:conditionalFormatting sqref="I2:I25">
    <x:cfRule type="expression" dxfId="0" priority="1">
      <x:formula>I2="High"</x:formula>
    </x:cfRule>
  </x:conditionalFormatting>
  <x:conditionalFormatting sqref="P2:P25">
    <x:cfRule type="expression" dxfId="1" priority="2">
      <x:formula>P2="Pending"</x:formula>
    </x:cfRule>
  </x:conditionalFormatting>
  <x:conditionalFormatting sqref="T2:T25">
    <x:cfRule type="expression" dxfId="2" priority="3">
      <x:formula>T2="Core"</x:formula>
    </x:cfRule>
    <x:cfRule type="expression" dxfId="3" priority="4">
      <x:formula>T2="Supporting"</x:formula>
    </x:cfRule>
    <x:cfRule type="expression" dxfId="4" priority="5">
      <x:formula>T2="Exclude"</x:formula>
    </x:cfRule>
  </x:conditionalFormatting>
  <x:dataValidations count="6">
    <x:dataValidation type="list" sqref="H2:H25">
      <x:formula1>"Explicit social language,Explicit social group,Explicit/stigmatising social language,Administrative/legal category,Institutional/social category,Indirect/material,Indirect/institutional,Mixed,Ambiguous"</x:formula1>
    </x:dataValidation>
    <x:dataValidation type="list" sqref="I2:I25">
      <x:formula1>"High,Medium,Hold,Exclude"</x:formula1>
    </x:dataValidation>
    <x:dataValidation type="list" sqref="J2:J25">
      <x:formula1>"Yes,No,Unclear"</x:formula1>
    </x:dataValidation>
    <x:dataValidation type="list" sqref="P2:P25">
      <x:formula1>"Pending,Checked,Needs recheck,Exclude"</x:formula1>
    </x:dataValidation>
    <x:dataValidation type="list" sqref="T2:T25">
      <x:formula1>"Core,Supporting,Exclude"</x:formula1>
    </x:dataValidation>
    <x:dataValidation type="list" sqref="X2:X25">
      <x:formula1>"High,Medium,Low"</x:formula1>
    </x:dataValidation>
  </x:dataValidations>
  <x:pageMargins left="0.7" right="0.7" top="0.75" bottom="0.75" header="0.3" footer="0.3"/>
  <x:tableParts count="1">
    <x:tablePart xmlns:r="http://schemas.openxmlformats.org/officeDocument/2006/relationships" r:id="R49e55122367a45fb"/>
  </x:tableParts>
</x:worksheet>
</file>

<file path=xl/worksheets/sheet3.xml><?xml version="1.0" encoding="utf-8"?>
<x:worksheet xmlns:x="http://schemas.openxmlformats.org/spreadsheetml/2006/main">
  <x:sheetFormatPr defaultRowHeight="15"/>
  <x:cols>
    <x:col min="1" max="1" width="15" hidden="0" customWidth="1"/>
    <x:col min="2" max="2" width="12" hidden="0" customWidth="1"/>
    <x:col min="3" max="3" width="12" hidden="0" customWidth="1"/>
    <x:col min="4" max="4" width="27" hidden="0" customWidth="1"/>
    <x:col min="5" max="5" width="27" hidden="0" customWidth="1"/>
    <x:col min="6" max="6" width="27" hidden="0" customWidth="1"/>
    <x:col min="7" max="7" width="26" hidden="0" customWidth="1"/>
    <x:col min="8" max="8" width="26" hidden="0" customWidth="1"/>
    <x:col min="9" max="9" width="26" hidden="0" customWidth="1"/>
    <x:col min="10" max="10" width="26" hidden="0" customWidth="1"/>
    <x:col min="11" max="11" width="13" hidden="0" customWidth="1"/>
    <x:col min="12" max="12" width="13" hidden="0" customWidth="1"/>
    <x:col min="13" max="13" width="44" hidden="0" customWidth="1"/>
    <x:col min="14" max="14" width="85" hidden="0" customWidth="1"/>
  </x:cols>
  <x:sheetData>
    <x:row r="1">
      <x:c r="A1" s="14" t="str">
        <x:v>Passage ID</x:v>
      </x:c>
      <x:c r="B1" s="14" t="str">
        <x:v>Report Year</x:v>
      </x:c>
      <x:c r="C1" s="14" t="str">
        <x:v>Publication Year</x:v>
      </x:c>
      <x:c r="D1" s="14" t="str">
        <x:v>Detection Source</x:v>
      </x:c>
      <x:c r="E1" s="14" t="str">
        <x:v>Automated Retrieval Categories</x:v>
      </x:c>
      <x:c r="F1" s="14" t="str">
        <x:v>Automated Matched Terms</x:v>
      </x:c>
      <x:c r="G1" s="14" t="str">
        <x:v>Supplementary Terms</x:v>
      </x:c>
      <x:c r="H1" s="14" t="str">
        <x:v>Preliminary Signal</x:v>
      </x:c>
      <x:c r="I1" s="14" t="str">
        <x:v>Social Language Detected</x:v>
      </x:c>
      <x:c r="J1" s="14" t="str">
        <x:v>Material Conditions Detected</x:v>
      </x:c>
      <x:c r="K1" s="14" t="str">
        <x:v>Shortlisted</x:v>
      </x:c>
      <x:c r="L1" s="14" t="str">
        <x:v>OCR Checked</x:v>
      </x:c>
      <x:c r="M1" s="14" t="str">
        <x:v>Source URL</x:v>
      </x:c>
      <x:c r="N1" s="14" t="str">
        <x:v>Passage Text</x:v>
      </x:c>
    </x:row>
    <x:row r="2" ht="78" customHeight="1">
      <x:c r="A2" s="41" t="str">
        <x:v>1890_0016</x:v>
      </x:c>
      <x:c r="B2" s="41" t="n">
        <x:v>1890</x:v>
      </x:c>
      <x:c r="C2" s="41" t="n">
        <x:v>1891</x:v>
      </x:c>
      <x:c r="D2" s="41" t="str">
        <x:v>Automated inequality category</x:v>
      </x:c>
      <x:c r="E2" s="41" t="str">
        <x:v>housing; inequality</x:v>
      </x:c>
      <x:c r="F2" s="41" t="str">
        <x:v>housing: dwellings, houses | inequality: working classes</x:v>
      </x:c>
      <x:c r="G2" s="41"/>
      <x:c r="H2" s="41" t="str">
        <x:v>Administrative/legal category</x:v>
      </x:c>
      <x:c r="I2" s="41" t="str">
        <x:v>working class; working classes; labouring class</x:v>
      </x:c>
      <x:c r="J2" s="41" t="str">
        <x:v>lodging house</x:v>
      </x:c>
      <x:c r="K2" s="41" t="str">
        <x:v>No</x:v>
      </x:c>
      <x:c r="L2" s="41" t="str">
        <x:v>Pending</x:v>
      </x:c>
      <x:c r="M2" s="41" t="str">
        <x:v>https://wellcomelibrary.org/moh/report/b19883651</x:v>
      </x:c>
      <x:c r="N2" s="41" t="str">
        <x:v>For the whole Metropolis 9.0 per cent. of cases remained finally unaccounted for. METEOROLOGICAL RETURNS. The concluding statistical work for the year which I propose to append as usual, are the Meteorological Tables. They deserve more careful scrutiny than I am afraid they usually receive. LEGISLATION DURING THE YEAR 1890. The enactment which has priority, on account of its importance, is the "Housing of the Working Classes Act, 1890," (53 and 54 Vict., ch. 70.) This Act consolidates and amends, as also repeals "Cross's Act," "Torrens' Act," and their amendments, as well as the "Labouring Classes Dwellings Acts of 1851, 1866, and 1867," ; the "Housing of the Working Classes Act, 1885," except sections 3, 7, 9, and 10 (so far as the latter relates to bye-laws). It also repeals the "Labouring Classes Lodging Houses (England) Act of 1851," and the "Labouring Classes Lodging Houses (Ireland) Acts," and the "Dwelling Houses (Scotland) Act." It is divided into seven parts, which contain 103 sections. Certain temporary provisionsand seven schedules are also included in this Act. Part i. may, for all practical purposes, be thought of as Cross's Act.</x:v>
      </x:c>
    </x:row>
    <x:row r="3" ht="78" customHeight="1">
      <x:c r="A3" s="41" t="str">
        <x:v>1890_0022</x:v>
      </x:c>
      <x:c r="B3" s="41" t="n">
        <x:v>1890</x:v>
      </x:c>
      <x:c r="C3" s="41" t="n">
        <x:v>1891</x:v>
      </x:c>
      <x:c r="D3" s="41" t="str">
        <x:v>Automated inequality category</x:v>
      </x:c>
      <x:c r="E3" s="41" t="str">
        <x:v>governance; housing; inequality; sanitary</x:v>
      </x:c>
      <x:c r="F3" s="41" t="str">
        <x:v>governance: inspection | housing: houses | inequality: working classes | sanitary: nuisances, sanitary</x:v>
      </x:c>
      <x:c r="G3" s="41"/>
      <x:c r="H3" s="41" t="str">
        <x:v>Administrative/legal category</x:v>
      </x:c>
      <x:c r="I3" s="41" t="str">
        <x:v>working class; working classes</x:v>
      </x:c>
      <x:c r="J3" s="41" t="str">
        <x:v>nuisance</x:v>
      </x:c>
      <x:c r="K3" s="41" t="str">
        <x:v>Yes</x:v>
      </x:c>
      <x:c r="L3" s="41" t="str">
        <x:v>Pending</x:v>
      </x:c>
      <x:c r="M3" s="41" t="str">
        <x:v>https://wellcomelibrary.org/moh/report/b19883651</x:v>
      </x:c>
      <x:c r="N3" s="41" t="str">
        <x:v>I may add that, in some instances, I have had to call upon the owners of some houses to remedy grave sanitary defects, which, but for the special inspection, might have escaped observation for some time. It may be useful to quote the result of the deliberations of Metropolitan Officers of Health, concerning a reference to them by the Conference of Metropolitan Members of Vestries and District Boards, which took place on the 5th December last, in the County Hall, Spring Gardens. The reference demanded some common understanding concerning the meaning of the words contained in Part ii. of the "Housing of the Working Classes Act, 1890," which runs as follows :�"A condition so dangerous "or injurious to health, as to be unfit for human habitation." REPORT. "Whether a house is dangerous to health mainly depends "upon� (a) Site and surroundings. (b) Construction. (c) Age and general want of repair. (d) Nuisances.</x:v>
      </x:c>
    </x:row>
    <x:row r="4" ht="78" customHeight="1">
      <x:c r="A4" s="41" t="str">
        <x:v>1890_0023</x:v>
      </x:c>
      <x:c r="B4" s="41" t="n">
        <x:v>1890</x:v>
      </x:c>
      <x:c r="C4" s="41" t="n">
        <x:v>1891</x:v>
      </x:c>
      <x:c r="D4" s="41" t="str">
        <x:v>Automated inequality category</x:v>
      </x:c>
      <x:c r="E4" s="41" t="str">
        <x:v>inequality; sanitary</x:v>
      </x:c>
      <x:c r="F4" s="41" t="str">
        <x:v>inequality: working classes | sanitary: drainage, nuisance</x:v>
      </x:c>
      <x:c r="G4" s="41"/>
      <x:c r="H4" s="41" t="str">
        <x:v>Indirect/material</x:v>
      </x:c>
      <x:c r="I4" s="41" t="str"/>
      <x:c r="J4" s="41" t="str">
        <x:v>drainage; drain; closet; ventilated; nuisance</x:v>
      </x:c>
      <x:c r="K4" s="41" t="str">
        <x:v>No</x:v>
      </x:c>
      <x:c r="L4" s="41" t="str">
        <x:v>Pending</x:v>
      </x:c>
      <x:c r="M4" s="41" t="str">
        <x:v>https://wellcomelibrary.org/moh/report/b19883651</x:v>
      </x:c>
      <x:c r="N4" s="41" t="str">
        <x:v>17 (a) Site. "A dwelling-house built in a hollow, or in a situation not "admitting effectual drainage, or exposed to malarial influences, "or built in a manner, or on soil which causes or admits the air "to be contaminated by injurious gasses, might be properly "represented under section 30 of the ' Housing of the Working "Classes Act, 1890.' "The fact that a dwelling-house is built on a site so sur"rounded by buildings that access of sufficient light and air is "impossible, would, in our opinion, be a good ground for repre"sentation. (b) Construction. "Under this head would be classed original defect of plan; "for example, a dwelling house improperly ventilated or lighted, "or with the closet and dust-bin so situated as to cause nuisance " within the house. "Any condition which results in permanent dampness.</x:v>
      </x:c>
    </x:row>
    <x:row r="5" ht="78" customHeight="1">
      <x:c r="A5" s="41" t="str">
        <x:v>1890_0024</x:v>
      </x:c>
      <x:c r="B5" s="41" t="n">
        <x:v>1890</x:v>
      </x:c>
      <x:c r="C5" s="41" t="n">
        <x:v>1891</x:v>
      </x:c>
      <x:c r="D5" s="41" t="str">
        <x:v>Automated inequality category</x:v>
      </x:c>
      <x:c r="E5" s="41" t="str">
        <x:v>housing; inequality; sanitary</x:v>
      </x:c>
      <x:c r="F5" s="41" t="str">
        <x:v>housing: dwellings, houses, rooms | inequality: poor, working classes | sanitary: drainage, filth, nuisances, sanitary</x:v>
      </x:c>
      <x:c r="G5" s="41"/>
      <x:c r="H5" s="41" t="str">
        <x:v>Mixed</x:v>
      </x:c>
      <x:c r="I5" s="41" t="str">
        <x:v>poor; working class; working classes</x:v>
      </x:c>
      <x:c r="J5" s="41" t="str">
        <x:v>drainage; drain; closet; rooms; nuisance; filth</x:v>
      </x:c>
      <x:c r="K5" s="41" t="str">
        <x:v>Yes</x:v>
      </x:c>
      <x:c r="L5" s="41" t="str">
        <x:v>Yes — original page image checked</x:v>
      </x:c>
      <x:c r="M5" s="41" t="str">
        <x:v>https://wellcomelibrary.org/moh/report/b19883651</x:v>
      </x:c>
      <x:c r="N5" s="41" t="str">
        <x:v>Such "faulty construction of chimney-flues as permits products of com"bustion from adjoining premises to permanently contaminate "the air of living-rooms. (c) Age and General Want of Repair. "This, when it reaches a degree of dilapidation, is obviously "a just cause for representation. (d) Nuisances. "Bad drainage, faulty closets, filth per se, &amp;c., are, in our "opinion, grounds for action taken under the ' Nuisances Re"moval and Sanitary Acts,' but where affecting a whole dwelling"house, or where combined with faults of site and construction, "and general want of repair, they justify action also under the "'Housing of the Working Classes Act.' "In all the above cases the question of 'degree' comes in; "it is, indeed, this question of degree that renders precise defini"tion impossible ; general principles can alone be laid down." 18 This is obviously true, but in any case it is satisfactory to know that magistrates are determined to assist Local Authorities to improve the dwellings of the poor. The above list of mal-conditions, applicable to dwelling-houses, is no new invention of Sanitary Experts, and daily experience constantly advises that greater efforts should be forthcoming to put into practice the knowledge which this experience brings.</x:v>
      </x:c>
    </x:row>
    <x:row r="6" ht="78" customHeight="1">
      <x:c r="A6" s="41" t="str">
        <x:v>1891_0014</x:v>
      </x:c>
      <x:c r="B6" s="41" t="n">
        <x:v>1891</x:v>
      </x:c>
      <x:c r="C6" s="41" t="n">
        <x:v>1892</x:v>
      </x:c>
      <x:c r="D6" s="41" t="str">
        <x:v>Automated inequality category</x:v>
      </x:c>
      <x:c r="E6" s="41" t="str">
        <x:v>inequality</x:v>
      </x:c>
      <x:c r="F6" s="41" t="str">
        <x:v>inequality: infirmary, lodgers, lodging-houses</x:v>
      </x:c>
      <x:c r="G6" s="41"/>
      <x:c r="H6" s="41" t="str">
        <x:v>Indirect/material</x:v>
      </x:c>
      <x:c r="I6" s="41" t="str"/>
      <x:c r="J6" s="41" t="str">
        <x:v>lodging-house; shelter</x:v>
      </x:c>
      <x:c r="K6" s="41" t="str">
        <x:v>Yes</x:v>
      </x:c>
      <x:c r="L6" s="41" t="str">
        <x:v>Pending</x:v>
      </x:c>
      <x:c r="M6" s="41" t="str">
        <x:v>https://wellcomelibrary.org/moh/report/b19883663</x:v>
      </x:c>
      <x:c r="N6" s="41" t="str">
        <x:v>Whilst on this subject, it may not altogether be out of place if I allude to certain institutions which have latelj- appeared in the District; they are founded for philanthropic purposes, and they escape police supervision because they avoid registration under the Common Lodging-houses Acts. These so-called 'shelters' are open apparently to all comers, and the friends of the 'Associations' endeavour with great vigour to supply them with lodgers collected from all parts of the Metropolis and elsewhere. It might have been hoped that the principals of the ' shelters ' would draft their visitors into useful employment in London, the Country, or even in the Colonies�but a few particulars which I have been at the trouble to collect do not support the theory that such is the intention of the promoters of these refuges. At any rate, the result has not been in that direction. I find that the District Medical Officers have, during the year 15 1891, given admission orders into the Whitechapel Infirmary to lodgers from the following institutions:� Shelter.</x:v>
      </x:c>
    </x:row>
    <x:row r="7" ht="78" customHeight="1">
      <x:c r="A7" s="41" t="str">
        <x:v>1891_0039</x:v>
      </x:c>
      <x:c r="B7" s="41" t="n">
        <x:v>1891</x:v>
      </x:c>
      <x:c r="C7" s="41" t="n">
        <x:v>1892</x:v>
      </x:c>
      <x:c r="D7" s="41" t="str">
        <x:v>Automated inequality category</x:v>
      </x:c>
      <x:c r="E7" s="41" t="str">
        <x:v>governance; inequality; sanitary</x:v>
      </x:c>
      <x:c r="F7" s="41" t="str">
        <x:v>governance: board, sanitary authority | inequality: poor | sanitary: sanitary</x:v>
      </x:c>
      <x:c r="G7" s="41"/>
      <x:c r="H7" s="41" t="str">
        <x:v>Ambiguous</x:v>
      </x:c>
      <x:c r="I7" s="41" t="str">
        <x:v>poor</x:v>
      </x:c>
      <x:c r="J7" s="41" t="str"/>
      <x:c r="K7" s="41" t="str">
        <x:v>No</x:v>
      </x:c>
      <x:c r="L7" s="41" t="str">
        <x:v>Pending</x:v>
      </x:c>
      <x:c r="M7" s="41" t="str">
        <x:v>https://wellcomelibrary.org/moh/report/b19883663</x:v>
      </x:c>
      <x:c r="N7" s="41" t="str">
        <x:v>All such expenses '' shall be " paid by the Board of Guardians of the Poor Law Union from " which he is received." Sec. 81 declares that children sent by the London School Board to any industrial school outside London, shall be considered as belonging to London in the event of being admitted into any hospital belonging to the Metropolitan Asylum Managers. 29 Sec. 88, by the substitution of the word "shall" for "may" renders it compulsory for every Sanitary Authority Mortuaries, to provide a Mortuary, and they may make byelaws with respect to the management of the building. Sec. go gives power to the County Council to compel Sanitary Authorities to provide and maintain a proper building for the reception of dead bodies during the time required to conduct any post-mortem examination ordered by a coroner or other constituted authority. Sec. 91 : "Any Sanitary Authorities may, with the approval of " the County Council, execute their duty under this Act, with " respect to mortuaries and buildings for post-mortem examina" tions by combining for the purpose thereof, or by contracting for " the use by one of the contracting authorities of any such " mortuary or building provided by another of such contracting " authorities, and may so combine or contract upon such terms as " may be agreed upon.'' Sec.</x:v>
      </x:c>
    </x:row>
    <x:row r="8" ht="78" customHeight="1">
      <x:c r="A8" s="41" t="str">
        <x:v>1891_0057</x:v>
      </x:c>
      <x:c r="B8" s="41" t="n">
        <x:v>1891</x:v>
      </x:c>
      <x:c r="C8" s="41" t="n">
        <x:v>1892</x:v>
      </x:c>
      <x:c r="D8" s="41" t="str">
        <x:v>Automated inequality category</x:v>
      </x:c>
      <x:c r="E8" s="41" t="str">
        <x:v>governance; inequality; sanitary</x:v>
      </x:c>
      <x:c r="F8" s="41" t="str">
        <x:v>governance: board, inspection, medical officer | inequality: working classes | sanitary: drainage, sanitary</x:v>
      </x:c>
      <x:c r="G8" s="41"/>
      <x:c r="H8" s="41" t="str">
        <x:v>Administrative/legal category</x:v>
      </x:c>
      <x:c r="I8" s="41" t="str">
        <x:v>working class; working classes</x:v>
      </x:c>
      <x:c r="J8" s="41" t="str">
        <x:v>drainage; drain</x:v>
      </x:c>
      <x:c r="K8" s="41" t="str">
        <x:v>No</x:v>
      </x:c>
      <x:c r="L8" s="41" t="str">
        <x:v>Pending</x:v>
      </x:c>
      <x:c r="M8" s="41" t="str">
        <x:v>https://wellcomelibrary.org/moh/report/b19883663</x:v>
      </x:c>
      <x:c r="N8" s="41" t="str">
        <x:v>46 Board of Works�Whitechapel District, Sanitary Department. To Dr. Joseph Loane, Medical Officer of Health. Sir, According to the usual custom we have prepared a tabulated statement of the year's work, and which we hand you herewith. To give a detailed account of the whole of the work would take up a considerable deal of time. However it is necessary that we should make a few remarks upon some of the work included in such tabulated statement. During the year a large amount of entire reconstruction of drainage has been carried out, and for the purposes of record it is our practice now to make plans of all premises in which entire reconstruction of drainage is carried out under our supervision, shewing the course and the several details connected therewith. We have been enabled this year to commence a systematic house-to-house inspection, detailed reports of which have been submitted from time to time. We do not propose to touch upon the results of proceedings under the Housing of the Working Classes Act, as we understand it to be your intention to make some special comments thereon.</x:v>
      </x:c>
    </x:row>
    <x:row r="9" ht="78" customHeight="1">
      <x:c r="A9" s="41" t="str">
        <x:v>1892_0017</x:v>
      </x:c>
      <x:c r="B9" s="41" t="n">
        <x:v>1892</x:v>
      </x:c>
      <x:c r="C9" s="41" t="n">
        <x:v>1893</x:v>
      </x:c>
      <x:c r="D9" s="41" t="str">
        <x:v>Supplementary manual social-language scan</x:v>
      </x:c>
      <x:c r="E9" s="41" t="str">
        <x:v>disease; governance; housing; sanitary</x:v>
      </x:c>
      <x:c r="F9" s="41" t="str">
        <x:v>disease: cholera, diarrhoea | governance: local government board | housing: houses, model dwellings | sanitary: sanitary, water supply</x:v>
      </x:c>
      <x:c r="G9" s="41" t="str">
        <x:v>immigrant foreigners</x:v>
      </x:c>
      <x:c r="H9" s="41" t="str">
        <x:v>Mixed</x:v>
      </x:c>
      <x:c r="I9" s="41" t="str">
        <x:v>immigrant foreigners</x:v>
      </x:c>
      <x:c r="J9" s="41" t="str">
        <x:v>water supply</x:v>
      </x:c>
      <x:c r="K9" s="41" t="str">
        <x:v>Yes</x:v>
      </x:c>
      <x:c r="L9" s="41" t="str">
        <x:v>Pending</x:v>
      </x:c>
      <x:c r="M9" s="41" t="str">
        <x:v>https://wellcomelibrary.org/moh/report/b19883675</x:v>
      </x:c>
      <x:c r="N9" s="41" t="str">
        <x:v>As all Reports upon the subject were orally communicated either by myself directly, or in combination with statements made by your Clerk, it may be advisable that I should now briefly recapitulate the chief details which will inform the Local Government Board as to the condition of the Whitechapel District. In 1884 I reported to the Committee of Works as follows:�"Although in "1866. about 35 per cent. of our Residents suffered from Cholera, Choleraic "Diarrhoea, or Diarrhoea; and 566 lives (or over 7 per 1000 of the population) "were sacrificed to this terrible epidemic, I feel justified in asserting that a "repetition of such a history cannot occur in Whitechapel. Not only have many "of the worst houses been removed, but the entire District is in every way in a "far better Sanitary condition now. The water supply is also sufficient and " good." To a still greater extent these remarks are applicable to our District at the present time. More Model Dwellings occupy the site of former insanitary houses, and although certain parts of the Distridt�as much on account of the habits of immigrant foreigners, as from the condition of the houses�require to be improved, B 2 12 yet they are surrounded by a cordon of wholesome domiciles, so that, although sporadic cases of Cholera might become imported into the District, I do not think the conditions exists which are required for the Disease to become seriously epidemic.</x:v>
      </x:c>
    </x:row>
    <x:row r="10" ht="78" customHeight="1">
      <x:c r="A10" s="41" t="str">
        <x:v>1892_0018</x:v>
      </x:c>
      <x:c r="B10" s="41" t="n">
        <x:v>1892</x:v>
      </x:c>
      <x:c r="C10" s="41" t="n">
        <x:v>1893</x:v>
      </x:c>
      <x:c r="D10" s="41" t="str">
        <x:v>Automated inequality category</x:v>
      </x:c>
      <x:c r="E10" s="41" t="str">
        <x:v>disease; governance; housing; inequality; sanitary</x:v>
      </x:c>
      <x:c r="F10" s="41" t="str">
        <x:v>disease: cholera, diarrhoea | governance: inspection | housing: houses | inequality: poor | sanitary: sanitary</x:v>
      </x:c>
      <x:c r="G10" s="41"/>
      <x:c r="H10" s="41" t="str">
        <x:v>Indirect/material</x:v>
      </x:c>
      <x:c r="I10" s="41" t="str">
        <x:v>poor</x:v>
      </x:c>
      <x:c r="J10" s="41" t="str">
        <x:v>shelter</x:v>
      </x:c>
      <x:c r="K10" s="41" t="str">
        <x:v>No</x:v>
      </x:c>
      <x:c r="L10" s="41" t="str">
        <x:v>Pending</x:v>
      </x:c>
      <x:c r="M10" s="41" t="str">
        <x:v>https://wellcomelibrary.org/moh/report/b19883675</x:v>
      </x:c>
      <x:c r="N10" s="41" t="str">
        <x:v>Notwithstanding this opinion, your Clerk and myself lost no time in looking to our fortifications, and we made active preparations to deal with any cases which might arise. For this purpose additional assistance was obtained, so that more constant inspection of the District should take place, and a larger system of general disinfection might be effected. Preparations were made to use some cottages, either as hospitals, or for shelters for the residents of houses where disease existed ; probably the latter, because previous experience has demonstrated that Cholera patients can only be removed safely in the very earliest stage of the disease. All the Medical Men in the District were communicated with. They were requested to report cases of Diarrhoea which occurred in their practices. They were asked to co-operate with the Sanitary Department, should such assistance be required. The replies from my friends were eminently satisfactory. It was proposed to rely upon existing Poor Law arrangements, and private Medical attendance, until Cholera actually appeared in the District. Should the disease manifest itself, it was suggested that a Medical Man should be appointed to take charge of the particular area incriminated.</x:v>
      </x:c>
    </x:row>
    <x:row r="11" ht="78" customHeight="1">
      <x:c r="A11" s="41" t="str">
        <x:v>1892_0019</x:v>
      </x:c>
      <x:c r="B11" s="41" t="n">
        <x:v>1892</x:v>
      </x:c>
      <x:c r="C11" s="41" t="n">
        <x:v>1893</x:v>
      </x:c>
      <x:c r="D11" s="41" t="str">
        <x:v>Automated inequality category</x:v>
      </x:c>
      <x:c r="E11" s="41" t="str">
        <x:v>disease; inequality</x:v>
      </x:c>
      <x:c r="F11" s="41" t="str">
        <x:v>disease: diarrhoea | inequality: poor</x:v>
      </x:c>
      <x:c r="G11" s="41"/>
      <x:c r="H11" s="41" t="str">
        <x:v>Ambiguous</x:v>
      </x:c>
      <x:c r="I11" s="41" t="str">
        <x:v>poor</x:v>
      </x:c>
      <x:c r="J11" s="41" t="str"/>
      <x:c r="K11" s="41" t="str">
        <x:v>No</x:v>
      </x:c>
      <x:c r="L11" s="41" t="str">
        <x:v>Pending</x:v>
      </x:c>
      <x:c r="M11" s="41" t="str">
        <x:v>https://wellcomelibrary.org/moh/report/b19883675</x:v>
      </x:c>
      <x:c r="N11" s="41" t="str">
        <x:v>For the purpose the District should, in the first place, be divided into three parts, co-existent with the Poor Law Boundaries. Each of these divisions should then be sub-divided as occasion required, and thus, without waste of material, any portion of the District could be, at short notice, medically cared for. Our stock of Disinfectants was increased, to provide for sudden emergency. Arrangements were made to destroy any clothing or bedding which had been exposed to contagion, and preparations were made for the immediate removal to the Mortuary of any body which had died from disease of a suspicious nature. In one case of death from sudden Acute Diarrhoea, the body was placed in a well-pitched coffin, filled with disinfectants, and screwed down. It was removed to the Mortuary, and the Coroner was written to. That Officer dispensed with the viewing of the body, under the urgent circumstances of the case. Nothing was done which might create a panic. No large posters were placarded over the District, but arrangements were ready whereby such might be done at very short notice, if it had become necessary to do so.</x:v>
      </x:c>
    </x:row>
    <x:row r="12" ht="78" customHeight="1">
      <x:c r="A12" s="41" t="str">
        <x:v>1892_0026</x:v>
      </x:c>
      <x:c r="B12" s="41" t="n">
        <x:v>1892</x:v>
      </x:c>
      <x:c r="C12" s="41" t="n">
        <x:v>1893</x:v>
      </x:c>
      <x:c r="D12" s="41" t="str">
        <x:v>Automated inequality category (dictionary-synchronised)</x:v>
      </x:c>
      <x:c r="E12" s="41" t="str">
        <x:v>housing; inequality; sanitary</x:v>
      </x:c>
      <x:c r="F12" s="41" t="str">
        <x:v>housing: houses | inequality: destitute, lodgers, poorest | sanitary: sanitary</x:v>
      </x:c>
      <x:c r="G12" s="41"/>
      <x:c r="H12" s="41" t="str">
        <x:v>Mixed</x:v>
      </x:c>
      <x:c r="I12" s="41" t="str">
        <x:v>poor; poorest; destitute</x:v>
      </x:c>
      <x:c r="J12" s="41" t="str">
        <x:v>ventilation; lodging house; shelter</x:v>
      </x:c>
      <x:c r="K12" s="41" t="str">
        <x:v>Yes</x:v>
      </x:c>
      <x:c r="L12" s="41" t="str">
        <x:v>Yes — original page image checked</x:v>
      </x:c>
      <x:c r="M12" s="41" t="str">
        <x:v>https://wellcomelibrary.org/moh/report/b19883675</x:v>
      </x:c>
      <x:c r="N12" s="41" t="str">
        <x:v>The Government has been requested to transfer the supervision of these houses from the police to the Local Sanitary Authorities. I must at once declare that when the class of house is taken into consideration, together with the persons who lodge therein, my* experience compels me to assert that the change proposed would not be a good one. At present the police sergeant (who acts under his superintendent) admirably supervises the arrangements for the health of the lodgers, and in matters requiring their intervention, the Sanitary Authorities are called in to co-operate. The regulations governing accommodation and ventilation are well framed under the provision of the Lodginghouses Acts, and I am sorry that all houses, where the comparatively destitute are housed, have not the advantage of similar supervision. It has been my duty on account of a case of small-pox occurring at each, to investigate the sanitary condition of two large shelters provided by a philanthropic association for sleeping the poorest persons. I will not here detail all that I have been compelled to note concerning the places themselves, and the sleeping accommodation provided; but I feel unable to answer the question which arises in my mind, namely :�What good purpose is here being served, which could not be better attained by the police registered and supervised Common-lodging Houses ?</x:v>
      </x:c>
    </x:row>
    <x:row r="13" ht="78" customHeight="1">
      <x:c r="A13" s="41" t="str">
        <x:v>1892_0027</x:v>
      </x:c>
      <x:c r="B13" s="41" t="n">
        <x:v>1892</x:v>
      </x:c>
      <x:c r="C13" s="41" t="n">
        <x:v>1893</x:v>
      </x:c>
      <x:c r="D13" s="41" t="str">
        <x:v>Automated inequality category</x:v>
      </x:c>
      <x:c r="E13" s="41" t="str">
        <x:v>governance; housing; inequality</x:v>
      </x:c>
      <x:c r="F13" s="41" t="str">
        <x:v>governance: board | housing: houses | inequality: infirmary</x:v>
      </x:c>
      <x:c r="G13" s="41"/>
      <x:c r="H13" s="41" t="str">
        <x:v>Indirect/material</x:v>
      </x:c>
      <x:c r="I13" s="41" t="str"/>
      <x:c r="J13" s="41" t="str">
        <x:v>lodging-house; shelter</x:v>
      </x:c>
      <x:c r="K13" s="41" t="str">
        <x:v>No</x:v>
      </x:c>
      <x:c r="L13" s="41" t="str">
        <x:v>Pending</x:v>
      </x:c>
      <x:c r="M13" s="41" t="str">
        <x:v>https://wellcomelibrary.org/moh/report/b19883675</x:v>
      </x:c>
      <x:c r="N13" s="41" t="str">
        <x:v>Suffice it to add, that I shall not fail in future to closely watch all similar houses, and when the 94th section of the Public Health (London) Act, 1891, shall be in operation in the District, all such establishments will probably be registered by your Board. That proper and sufficient lodging should be supplied for the nomadic labourer, to whom his lodging-house becomes his club, must be apparent to all; I am only anxious that such persons shall be surrounded by proper hygienic conditions. Last year I included in my Report a list of admissions into the Union Infirmary upon Medical Orders only, of persons lodging in the various shelters within the District. To the number of houses then given, another has been added. I append the correct list:� 18 Shelters. No. of Admission Orders given by the District Medical Officers. Salvation Army Shelter for men, 272, Whitechapel-road 182 � � women, 194, Hanbury-street 222 � � men, Quaker-street 102 � men, Royal Mint-street 56 Church Army Shelter for men, 83, Whitechapel-road 2 Tenter-street Shelter for Foreign Jews 21 Barnardo's Shelter for women, 12, Dock-street 62 647 When to this list is added the many cases where admission is obtained on the score of "urgency," without the intervention of the District Medical Officers, it will be apparent that such shelters influence the statistics in a very considerable degree.</x:v>
      </x:c>
    </x:row>
    <x:row r="14" ht="78" customHeight="1">
      <x:c r="A14" s="41" t="str">
        <x:v>1892_0030</x:v>
      </x:c>
      <x:c r="B14" s="41" t="n">
        <x:v>1892</x:v>
      </x:c>
      <x:c r="C14" s="41" t="n">
        <x:v>1893</x:v>
      </x:c>
      <x:c r="D14" s="41" t="str">
        <x:v>Automated inequality category</x:v>
      </x:c>
      <x:c r="E14" s="41" t="str">
        <x:v>housing; inequality</x:v>
      </x:c>
      <x:c r="F14" s="41" t="str">
        <x:v>housing: houses | inequality: working classes</x:v>
      </x:c>
      <x:c r="G14" s="41"/>
      <x:c r="H14" s="41" t="str">
        <x:v>Ambiguous</x:v>
      </x:c>
      <x:c r="I14" s="41" t="str">
        <x:v>working class; working classes</x:v>
      </x:c>
      <x:c r="J14" s="41" t="str"/>
      <x:c r="K14" s="41" t="str">
        <x:v>No</x:v>
      </x:c>
      <x:c r="L14" s="41" t="str">
        <x:v>Pending</x:v>
      </x:c>
      <x:c r="M14" s="41" t="str">
        <x:v>https://wellcomelibrary.org/moh/report/b19883675</x:v>
      </x:c>
      <x:c r="N14" s="41" t="str">
        <x:v>Excepting under certain conditions, I am of opinion that much can be obtained more Housing of the readily from other legislative enactments. In. Working deed, even where the 1890 Act seemed to be the Classes Act, one best adapted to obtain the object desired, I 1890. have frequently obtained from owners of property the closing and even demolition of houses by consent. As an illustration of a difficulty which took place, where no other suitable means appeared to be available for the purpose, I ask your consideration of the following case. Two houses, entered from different streets, had been connected by irregular structures of wood, so as to become virtually one large building. This building was used partly as a Restaurant, and partly as a Turkish bath. The upper premises were occupied for residential purposes. Nothing more unwholesome than this jointly occupied place could be imagined. A summons was taken out under Section 32 (1) of the Housing of the Working Classes Act, 1890, against the owner, who is defined in the Act, as being the person having an interest in the premises of not less than 21 years.</x:v>
      </x:c>
    </x:row>
    <x:row r="15" ht="78" customHeight="1">
      <x:c r="A15" s="41" t="str">
        <x:v>1893_0023</x:v>
      </x:c>
      <x:c r="B15" s="41" t="n">
        <x:v>1893</x:v>
      </x:c>
      <x:c r="C15" s="41" t="n">
        <x:v>1894</x:v>
      </x:c>
      <x:c r="D15" s="41" t="str">
        <x:v>Automated inequality category</x:v>
      </x:c>
      <x:c r="E15" s="41" t="str">
        <x:v>governance; housing; inequality; sanitary</x:v>
      </x:c>
      <x:c r="F15" s="41" t="str">
        <x:v>governance: inspections | housing: houses | inequality: lodging-houses, poor | sanitary: sanitary, water supply</x:v>
      </x:c>
      <x:c r="G15" s="41"/>
      <x:c r="H15" s="41" t="str">
        <x:v>Indirect/material</x:v>
      </x:c>
      <x:c r="I15" s="41" t="str">
        <x:v>poor</x:v>
      </x:c>
      <x:c r="J15" s="41" t="str">
        <x:v>water supply; lodging-house; shelter</x:v>
      </x:c>
      <x:c r="K15" s="41" t="str">
        <x:v>Yes</x:v>
      </x:c>
      <x:c r="L15" s="41" t="str">
        <x:v>Pending</x:v>
      </x:c>
      <x:c r="M15" s="41" t="str">
        <x:v>https://wellcomelibrary.org/moh/report/b18018348</x:v>
      </x:c>
      <x:c r="N15" s="41" t="str">
        <x:v>The question is of such vital importance to the health of the inhabitants, that I hope some means may be found to avert a repetition of last year's experience. So far as the general quality of the District water supply is concerned, the official returns leave little to be desired. I have generally included in my Report some particulars concerning Registered Common Lodging-houses, and 1 again do so. It has been decided by the Home Secretary that so soon as arrangements can be made, he will transfer the jurisdiction of this class of Lodging-house from the police to the Local Authorities, so far as the Sanitary overlooking of them will be concerned. The police will still retain the right of entry for other purposes. I can only express a hope that the new plan will be as successful as the old plan has been. I have also appended a list of so-called philanthropic shelters within the District. These are in reality Common Lodging-houses b 2 10 not registered. I trust the time will soon arrive when all places set apart for the lodging of the very poor will be benefitted by the official inspections, to which the registered houses have long been subjected.</x:v>
      </x:c>
    </x:row>
    <x:row r="16" ht="78" customHeight="1">
      <x:c r="A16" s="41" t="str">
        <x:v>1893_0028</x:v>
      </x:c>
      <x:c r="B16" s="41" t="n">
        <x:v>1893</x:v>
      </x:c>
      <x:c r="C16" s="41" t="n">
        <x:v>1894</x:v>
      </x:c>
      <x:c r="D16" s="41" t="str">
        <x:v>Automated inequality category</x:v>
      </x:c>
      <x:c r="E16" s="41" t="str">
        <x:v>governance; housing; inequality</x:v>
      </x:c>
      <x:c r="F16" s="41" t="str">
        <x:v>governance: board | housing: houses | inequality: working classes</x:v>
      </x:c>
      <x:c r="G16" s="41"/>
      <x:c r="H16" s="41" t="str">
        <x:v>Ambiguous</x:v>
      </x:c>
      <x:c r="I16" s="41" t="str">
        <x:v>working class; working classes</x:v>
      </x:c>
      <x:c r="J16" s="41" t="str"/>
      <x:c r="K16" s="41" t="str">
        <x:v>No</x:v>
      </x:c>
      <x:c r="L16" s="41" t="str">
        <x:v>Pending</x:v>
      </x:c>
      <x:c r="M16" s="41" t="str">
        <x:v>https://wellcomelibrary.org/moh/report/b18018348</x:v>
      </x:c>
      <x:c r="N16" s="41" t="str">
        <x:v>The attention of the London County Council was directed to the Bell Lane area very soon after the Council was formed, and certainly no plea of ignorance can be set up by the Council or its officers as to the condition of the area. Committees have visited the neighbourhood and discussed the question ; the Housing of the Working Classes Committee have received a deputation from the Whitechapel Board; the medical staff and the valuers and surveyors have so frequently inspected the houses that these gentlemen are personally well-known in that part of the district. Still no action has been taken under Part I. of the Housing of the Working Classes Act, 1890. It has even reached me that the Council propose by a plan�other than an improvement scheme�to remove as few of the houses in Middlesex Street and Sandys Row as will enable those streets to be widened equally with the southern end of Middlesex Street, so as to produce a good thoroughfare into the City. Whilst I am writing the matter is before your Board.</x:v>
      </x:c>
    </x:row>
    <x:row r="17" ht="78" customHeight="1">
      <x:c r="A17" s="41" t="str">
        <x:v>1893_0029</x:v>
      </x:c>
      <x:c r="B17" s="41" t="n">
        <x:v>1893</x:v>
      </x:c>
      <x:c r="C17" s="41" t="n">
        <x:v>1894</x:v>
      </x:c>
      <x:c r="D17" s="41" t="str">
        <x:v>Automated inequality category</x:v>
      </x:c>
      <x:c r="E17" s="41" t="str">
        <x:v>governance; housing; inequality</x:v>
      </x:c>
      <x:c r="F17" s="41" t="str">
        <x:v>governance: board | housing: houses | inequality: working classes</x:v>
      </x:c>
      <x:c r="G17" s="41"/>
      <x:c r="H17" s="41" t="str">
        <x:v>Ambiguous</x:v>
      </x:c>
      <x:c r="I17" s="41" t="str">
        <x:v>working class; working classes</x:v>
      </x:c>
      <x:c r="J17" s="41" t="str"/>
      <x:c r="K17" s="41" t="str">
        <x:v>No</x:v>
      </x:c>
      <x:c r="L17" s="41" t="str">
        <x:v>Pending</x:v>
      </x:c>
      <x:c r="M17" s="41" t="str">
        <x:v>https://wellcomelibrary.org/moh/report/b18018348</x:v>
      </x:c>
      <x:c r="N17" s="41" t="str">
        <x:v>It has been resolved that a memorial shall be presented to the London County Council, praying the Council to proceed with the Bell Lane area under Part I. of the Housing of the Working Classes Act, 1890. What the result of the memorial may be I cannot predict�but should it share the fate of the Board's former efforts in relation to the Bell Lane area it then remains for the Board�if it pleases to do so�to appeal to the Home Secretary, with whom rests the important question as to who shall bear the cost of the improvement. Lists of these places have, as usual, been included in this 15 Slaughter Houses, Cow Houses and Milk Shops. Report. The last-named list is very liable to constant alteration, and I shall feel obliged to those who can afford necessary information which will enable me to correct it from time to time. A copy of such information shall be forwarded to the London County Council, with whom rests the duty of licensing all slaughter-houses, cow-houses and milk shops.</x:v>
      </x:c>
    </x:row>
    <x:row r="18" ht="78" customHeight="1">
      <x:c r="A18" s="41" t="str">
        <x:v>1893_0083</x:v>
      </x:c>
      <x:c r="B18" s="41" t="n">
        <x:v>1893</x:v>
      </x:c>
      <x:c r="C18" s="41" t="n">
        <x:v>1894</x:v>
      </x:c>
      <x:c r="D18" s="41" t="str">
        <x:v>Automated inequality category</x:v>
      </x:c>
      <x:c r="E18" s="41" t="str">
        <x:v>inequality</x:v>
      </x:c>
      <x:c r="F18" s="41" t="str">
        <x:v>inequality: lodgers</x:v>
      </x:c>
      <x:c r="G18" s="41"/>
      <x:c r="H18" s="41" t="str">
        <x:v>Indirect/material</x:v>
      </x:c>
      <x:c r="I18" s="41" t="str"/>
      <x:c r="J18" s="41" t="str">
        <x:v>closet; lodging-house</x:v>
      </x:c>
      <x:c r="K18" s="41" t="str">
        <x:v>No</x:v>
      </x:c>
      <x:c r="L18" s="41" t="str">
        <x:v>Pending</x:v>
      </x:c>
      <x:c r="M18" s="41" t="str">
        <x:v>https://wellcomelibrary.org/moh/report/b18018348</x:v>
      </x:c>
      <x:c r="N18" s="41" t="str">
        <x:v>The occupier of any premises shall once at least in every week cause every earthcloset, privy and receptacle for dung belonging to such premises to be emptied and thoroughly cleansed. The occupier of any premises shall once at least in every three months cause every cesspool belonging to such premises to be emptied and thoronghly cleansed. Provided that where two or more lodgers in a lodging-house are entitled to the use in common of any watercloset, earthcloset, privy, cesspool, or receptacle for dung, the landlord shall cause such watercloset, earthcloset, privy, cesspool, or receptacle for dung to be cleansed and emptied as aforesaid. The landlord, or owner of any lodging-house, shall provide and maintain in connection with such house, watercloset, earthcloset or privy accommodation in the proportion of not less than one watercloset, earthcloset, or privy, for every twelve persons.</x:v>
      </x:c>
    </x:row>
    <x:row r="19" ht="78" customHeight="1">
      <x:c r="A19" s="41" t="str">
        <x:v>1893_0098</x:v>
      </x:c>
      <x:c r="B19" s="41" t="n">
        <x:v>1893</x:v>
      </x:c>
      <x:c r="C19" s="41" t="n">
        <x:v>1894</x:v>
      </x:c>
      <x:c r="D19" s="41" t="str">
        <x:v>Automated inequality category</x:v>
      </x:c>
      <x:c r="E19" s="41" t="str">
        <x:v>governance; inequality</x:v>
      </x:c>
      <x:c r="F19" s="41" t="str">
        <x:v>governance: sanitary authority | inequality: lodgers</x:v>
      </x:c>
      <x:c r="G19" s="41"/>
      <x:c r="H19" s="41" t="str">
        <x:v>Ambiguous</x:v>
      </x:c>
      <x:c r="I19" s="41" t="str"/>
      <x:c r="J19" s="41" t="str"/>
      <x:c r="K19" s="41" t="str">
        <x:v>No</x:v>
      </x:c>
      <x:c r="L19" s="41" t="str">
        <x:v>Pending</x:v>
      </x:c>
      <x:c r="M19" s="41" t="str">
        <x:v>https://wellcomelibrary.org/moh/report/b18018348</x:v>
      </x:c>
      <x:c r="N19" s="41" t="str">
        <x:v>The person in the occupation of or having the charge, management, or control of the premises, or if there is no such person, then any person in occupation of or having the charge, management, or control of any part of the premises, and in the case of any premises the whole of which is let to lodgers, the person receiving the rent payable by the lodgers, either on his own account or as the agent of another person, shall for the purposes of this bye-law be deemed to be the occupier. Penalties. 3. Every person who shall offend against the foregoing bye-law shall be liable for every such offence to a penalty of five pounds, and in the case of a continuing offence to a further penalty of forty shillings for each day after written notice of the offence from the Sanitary Authority. 58 Provided, nevertheless, that the justices or court before whom any complaint may be made, or any proceedings may be taken in respect of any such offence, may, if they think fit, adjudge the payment as a penalty of any sum less than the full amount of the penalty imposed by this bye-law.</x:v>
      </x:c>
    </x:row>
    <x:row r="20" ht="78" customHeight="1">
      <x:c r="A20" s="41" t="str">
        <x:v>1893_0100</x:v>
      </x:c>
      <x:c r="B20" s="41" t="n">
        <x:v>1893</x:v>
      </x:c>
      <x:c r="C20" s="41" t="n">
        <x:v>1894</x:v>
      </x:c>
      <x:c r="D20" s="41" t="str">
        <x:v>Automated inequality category</x:v>
      </x:c>
      <x:c r="E20" s="41" t="str">
        <x:v>inequality</x:v>
      </x:c>
      <x:c r="F20" s="41" t="str">
        <x:v>inequality: lodgers</x:v>
      </x:c>
      <x:c r="G20" s="41"/>
      <x:c r="H20" s="41" t="str">
        <x:v>Ambiguous</x:v>
      </x:c>
      <x:c r="I20" s="41" t="str"/>
      <x:c r="J20" s="41" t="str"/>
      <x:c r="K20" s="41" t="str">
        <x:v>No</x:v>
      </x:c>
      <x:c r="L20" s="41" t="str">
        <x:v>Pending</x:v>
      </x:c>
      <x:c r="M20" s="41" t="str">
        <x:v>https://wellcomelibrary.org/moh/report/b18018348</x:v>
      </x:c>
      <x:c r="N20" s="41" t="str">
        <x:v>The person in occupation of or having the charge, management, or control ot the premises, or if there is no such person, then any person in occupation of or having the charge, management, or control of any part of the premises, and in the case of any premises the whole of which is let in tenements or to lodgers, the person receiving the rent payable by the tenants or lodgers, either on his own account or as the agent of another person, shall for the purposes of this bye-law be deemed to be the occupier. 3. Every person who shall remove any snow from any premises on to any carriageway shall deposit the same in such a manner and with such precautions as to prevent any accumulation thereof in any channel or upon any paved crossing. If in the process of such removal any snow be deposited upon any footway or pavement in any street, he shall forthwith remove such snow from such footway or pavement. 4. Every person who shall throw any salt upon any snow on the footway of any street shall do so in such quantity and in such manner as effectually to dissolve the whole of such snow, and he 6o shall forthwith effectually remove from the footway the whole of the deposit resulting from the mixture of salt with the snow.</x:v>
      </x:c>
    </x:row>
    <x:row r="21" ht="78" customHeight="1">
      <x:c r="A21" s="41" t="str">
        <x:v>1893_0109</x:v>
      </x:c>
      <x:c r="B21" s="41" t="n">
        <x:v>1893</x:v>
      </x:c>
      <x:c r="C21" s="41" t="n">
        <x:v>1894</x:v>
      </x:c>
      <x:c r="D21" s="41" t="str">
        <x:v>Automated inequality category</x:v>
      </x:c>
      <x:c r="E21" s="41" t="str">
        <x:v>governance; inequality</x:v>
      </x:c>
      <x:c r="F21" s="41" t="str">
        <x:v>governance: sanitary authority | inequality: lodgers</x:v>
      </x:c>
      <x:c r="G21" s="41"/>
      <x:c r="H21" s="41" t="str">
        <x:v>Ambiguous</x:v>
      </x:c>
      <x:c r="I21" s="41" t="str"/>
      <x:c r="J21" s="41" t="str"/>
      <x:c r="K21" s="41" t="str">
        <x:v>No</x:v>
      </x:c>
      <x:c r="L21" s="41" t="str">
        <x:v>Pending</x:v>
      </x:c>
      <x:c r="M21" s="41" t="str">
        <x:v>https://wellcomelibrary.org/moh/report/b18018348</x:v>
      </x:c>
      <x:c r="N21" s="41" t="str">
        <x:v>The person in occupation of, or having the charge, management, or control of the premises, or if there is no such person, then any person in occupation of or having the charge, management, or control of any part of the premises, and in the case of any premises the whole of which is let to lodgers, the person receiving the rent payable by the lodgers, either on his own account, or as the agent of another person, shall, for the purposes of this bye-law be deemed to be the occupier. 5. The occupier of any premises or any other person shall not obstruct or interfere with the owner of such premises, or with any person duly authorised by him in that behalf, in the execution of any work to which the foregoing bye-laws relate. Penalties. 6. Every person who shall offend against any of the foregoing bye-laws shall be liable for every such offence to a penalty of five pounds, and in the case of a continuing offence to a further penalty of forty shillings for each day after written notice of the offence from the Sanitary Authority.</x:v>
      </x:c>
    </x:row>
    <x:row r="22" ht="78" customHeight="1">
      <x:c r="A22" s="41" t="str">
        <x:v>1894_0014</x:v>
      </x:c>
      <x:c r="B22" s="41" t="n">
        <x:v>1894</x:v>
      </x:c>
      <x:c r="C22" s="41" t="n">
        <x:v>1895</x:v>
      </x:c>
      <x:c r="D22" s="41" t="str">
        <x:v>Automated inequality category</x:v>
      </x:c>
      <x:c r="E22" s="41" t="str">
        <x:v>housing; inequality; sanitary</x:v>
      </x:c>
      <x:c r="F22" s="41" t="str">
        <x:v>housing: houses | inequality: infirmary, lodging-houses | sanitary: water supply</x:v>
      </x:c>
      <x:c r="G22" s="41"/>
      <x:c r="H22" s="41" t="str">
        <x:v>Indirect/material</x:v>
      </x:c>
      <x:c r="I22" s="41" t="str"/>
      <x:c r="J22" s="41" t="str">
        <x:v>water supply; lodging-house; cistern</x:v>
      </x:c>
      <x:c r="K22" s="41" t="str">
        <x:v>Yes</x:v>
      </x:c>
      <x:c r="L22" s="41" t="str">
        <x:v>Yes — original page image checked</x:v>
      </x:c>
      <x:c r="M22" s="41" t="str">
        <x:v>https://wellcomelibrary.org/moh/report/b1801835x</x:v>
      </x:c>
      <x:c r="N22" s="41" t="str">
        <x:v>Curiously enough the result of the drought of 1893 was to permit the Company to give constant supply to its customers during nearly all the summer of 1894, and then in the Autumn to compel it to resort to the intermittent system of supply. When it is understood that cisterns are not generally to be found in houses in the District, it will be apparent that great inconvenience frequently resulted from this arrangement. That some better and more certain system of water supply is necessary cannot be doubted. That one of the necessities of life should be in the hands of a trading company, who may limit its supply in the manner I have discussed, possesses risks which at least demand considerable attention. Registered Common Lodging-Houses are now under the control of the London County Council, instead of as formerly being under Police Supervision. These houses are fewer in number, being 86 now, as compared with 98 in the last year. I append a list as usual, showing the number of deaths among the inhabitants of these houses where 10 such deaths took place in the Whitechapel Union Infirmary or other Public Institution.</x:v>
      </x:c>
    </x:row>
    <x:row r="23" ht="78" customHeight="1">
      <x:c r="A23" s="41" t="str">
        <x:v>1894_0020</x:v>
      </x:c>
      <x:c r="B23" s="41" t="n">
        <x:v>1894</x:v>
      </x:c>
      <x:c r="C23" s="41" t="n">
        <x:v>1895</x:v>
      </x:c>
      <x:c r="D23" s="41" t="str">
        <x:v>Automated inequality category</x:v>
      </x:c>
      <x:c r="E23" s="41" t="str">
        <x:v>housing; inequality; sanitary</x:v>
      </x:c>
      <x:c r="F23" s="41" t="str">
        <x:v>housing: dwellings, houses | inequality: working classes | sanitary: sanitary</x:v>
      </x:c>
      <x:c r="G23" s="41"/>
      <x:c r="H23" s="41" t="str">
        <x:v>Ambiguous</x:v>
      </x:c>
      <x:c r="I23" s="41" t="str">
        <x:v>working class; working classes</x:v>
      </x:c>
      <x:c r="J23" s="41" t="str"/>
      <x:c r="K23" s="41" t="str">
        <x:v>Yes</x:v>
      </x:c>
      <x:c r="L23" s="41" t="str">
        <x:v>Yes — original page image checked</x:v>
      </x:c>
      <x:c r="M23" s="41" t="str">
        <x:v>https://wellcomelibrary.org/moh/report/b1801835x</x:v>
      </x:c>
      <x:c r="N23" s="41" t="str">
        <x:v>Dr. Longstaff, Chairman of the Building Act Committee of the London County Council, who was active in the promotion of the Bill, was recently discussing its merits at the Parkes Museum. The Doctor stated "that Parliament threw upon the County Council "the imperative duty, under certain circumstances, of (at practically "whatever cost) buying out unhealthy buildings of persons of the "working-class, and seeing that more suitable dwellings were placed "thereon." Perfectly true! may I commend this opinion to the consideration of the Council when they next consider the question of " The Bell Lane and Great Pearl Street areas?" Housing of the Working Classes Act, 1890. I have been very unsuccessful in the application of this Act to worn out property. To begin with, I do not think Magistrates like it; and although very strong evidence has been produced in support of some prosecutions which I have been interested in, more difficulties have occurred with it than I have experienced with any other Sanitary Act. As an illustration, I will mention the houses in Hanbury Street and Samuel Court.</x:v>
      </x:c>
    </x:row>
    <x:row r="24" ht="78" customHeight="1">
      <x:c r="A24" s="41" t="str">
        <x:v>1894_0025</x:v>
      </x:c>
      <x:c r="B24" s="41" t="n">
        <x:v>1894</x:v>
      </x:c>
      <x:c r="C24" s="41" t="n">
        <x:v>1895</x:v>
      </x:c>
      <x:c r="D24" s="41" t="str">
        <x:v>Automated inequality category</x:v>
      </x:c>
      <x:c r="E24" s="41" t="str">
        <x:v>governance; inequality; sanitary</x:v>
      </x:c>
      <x:c r="F24" s="41" t="str">
        <x:v>governance: board | inequality: working classes | sanitary: sanitary</x:v>
      </x:c>
      <x:c r="G24" s="41"/>
      <x:c r="H24" s="41" t="str">
        <x:v>Ambiguous</x:v>
      </x:c>
      <x:c r="I24" s="41" t="str">
        <x:v>working class; working classes; jewish community</x:v>
      </x:c>
      <x:c r="J24" s="41" t="str"/>
      <x:c r="K24" s="41" t="str">
        <x:v>Yes</x:v>
      </x:c>
      <x:c r="L24" s="41" t="str">
        <x:v>Yes — original page image checked</x:v>
      </x:c>
      <x:c r="M24" s="41" t="str">
        <x:v>https://wellcomelibrary.org/moh/report/b1801835x</x:v>
      </x:c>
      <x:c r="N24" s="41" t="str">
        <x:v>He has further pointed out that the influential members of the Jewish Community can to a 17 great extent remedy the evils of which their Sanitary Committee complain, by using such personal influence in aiding their education, that these people may use, instead of abuse, the Sanitary Conveniences provided for them, and to which they have not hitherto been accustomed. The second paragraph of Mr. Murphy's preface to Dr. Hamer's Report has reference to the fact that Whitechapel still has an exceptional number of ill-arranged courts and alleys. If this be so, it is also a fact that they are chiefly contained within the areas well known as "The Bell Lane Area," and "Great Pearl Street." It cannot be necessary to recall the fact that these areas, so far back as 1871, were reprsented to the late Metropolitan Board of Works, and that progress had been made by that Authority in the direction of giving effect to those representations, when it was succeeded by the London County Council. The New Body, by its Committees and Officers, are thoroughly acquainted with the conditions of the areas, and during the present year, the Chairman of the Housing of tho Working Classes Committee admitted to a Deputation of the Whitechapel Board the necessities of the Case, but pleaded " Want of Funds " as a reason for the Council's inactivity in promoting a Bill for acquiring the areas under Part 1 of the " Housing of the Working Classes Act, 1890." Dr.</x:v>
      </x:c>
    </x:row>
    <x:row r="25" ht="78" customHeight="1">
      <x:c r="A25" s="41" t="str">
        <x:v>1894_0026</x:v>
      </x:c>
      <x:c r="B25" s="41" t="n">
        <x:v>1894</x:v>
      </x:c>
      <x:c r="C25" s="41" t="n">
        <x:v>1895</x:v>
      </x:c>
      <x:c r="D25" s="41" t="str">
        <x:v>Automated inequality category (dictionary-synchronised)</x:v>
      </x:c>
      <x:c r="E25" s="41" t="str">
        <x:v>governance; housing; inequality</x:v>
      </x:c>
      <x:c r="F25" s="41" t="str">
        <x:v>governance: board, medical officer | housing: rooms | inequality: poverty</x:v>
      </x:c>
      <x:c r="G25" s="41"/>
      <x:c r="H25" s="41" t="str">
        <x:v>Mixed</x:v>
      </x:c>
      <x:c r="I25" s="41" t="str">
        <x:v>poverty</x:v>
      </x:c>
      <x:c r="J25" s="41" t="str">
        <x:v>single room; rooms</x:v>
      </x:c>
      <x:c r="K25" s="41" t="str">
        <x:v>Yes</x:v>
      </x:c>
      <x:c r="L25" s="41" t="str">
        <x:v>Yes — original page image checked</x:v>
      </x:c>
      <x:c r="M25" s="41" t="str">
        <x:v>https://wellcomelibrary.org/moh/report/b1801835x</x:v>
      </x:c>
      <x:c r="N25" s="41" t="str">
        <x:v>Hamer commences his Report with certain statistical information with which the Members of the Whitechapel District Board are familiar, as they entered into their Medical Officer's Report which was issued in the early part of the present year. The Committee do not proposo to discuss the interesting figures which have been extracted from Mr. Booth's excellent book upon "Poverty and Associated Conditions," because in such connection it has been shewn that theory and experience do not always agree with the results which may be deduced from such observations. It is an admitted fact that the Polish Jew, like the Native of the South of Ireland, has a strong affection for his home, be it only a single room: he will use his greatest efforts against being dislodged, even though one can prove to him that two better rooms may be provided for him elsewhere for the same rental. With regard to the other factors, such as excess of young married females, and surplus married males, mentioned by Mr. Booth, and quoted by Dr.</x:v>
      </x:c>
    </x:row>
    <x:row r="26" ht="78" customHeight="1">
      <x:c r="A26" s="41" t="str">
        <x:v>1894_0050</x:v>
      </x:c>
      <x:c r="B26" s="41" t="n">
        <x:v>1894</x:v>
      </x:c>
      <x:c r="C26" s="41" t="n">
        <x:v>1895</x:v>
      </x:c>
      <x:c r="D26" s="41" t="str">
        <x:v>Automated inequality category</x:v>
      </x:c>
      <x:c r="E26" s="41" t="str">
        <x:v>governance; inequality; sanitary</x:v>
      </x:c>
      <x:c r="F26" s="41" t="str">
        <x:v>governance: summonses | inequality: working classes | sanitary: drainage</x:v>
      </x:c>
      <x:c r="G26" s="41"/>
      <x:c r="H26" s="41" t="str">
        <x:v>Administrative/legal category</x:v>
      </x:c>
      <x:c r="I26" s="41" t="str">
        <x:v>working class; working classes</x:v>
      </x:c>
      <x:c r="J26" s="41" t="str">
        <x:v>drainage; drain</x:v>
      </x:c>
      <x:c r="K26" s="41" t="str">
        <x:v>No</x:v>
      </x:c>
      <x:c r="L26" s="41" t="str">
        <x:v>Pending</x:v>
      </x:c>
      <x:c r="M26" s="41" t="str">
        <x:v>https://wellcomelibrary.org/moh/report/b1801835x</x:v>
      </x:c>
      <x:c r="N26" s="41" t="str">
        <x:v>It will be also seen from the said Statement that a large amount of Reconstruction of House Drainage has been carried out under our supervision during the year. Very great care and attention was paid during the year to the question of unwholesome food. Particulars of the articles seized and destroyed will be found at the foot of the Statement above referred to. A large number of summonses were issued under the Public Health (London) Act and the Housing of the Working Classes Act during the year. The fines and costs recovered amounted in all to �56. Is. A detailed statement of these summonses we also hand you herewith. It is gratifying to notice that there has been a very considerable decrease in the number of cases of Infectious Disease during the past year. The cases numbered in all 646, as against 1,383 in 1893, thus . showing a decrease of 737. Disinfection was promptly carried out in every instance. We have been enabled this year to have removed to Hospitals such patients as required removal without any of the difficulty experienced last year.</x:v>
      </x:c>
    </x:row>
    <x:row r="27" ht="78" customHeight="1">
      <x:c r="A27" s="41" t="str">
        <x:v>1895_0010</x:v>
      </x:c>
      <x:c r="B27" s="41" t="n">
        <x:v>1895</x:v>
      </x:c>
      <x:c r="C27" s="41" t="n">
        <x:v>1896</x:v>
      </x:c>
      <x:c r="D27" s="41" t="str">
        <x:v>Automated inequality category</x:v>
      </x:c>
      <x:c r="E27" s="41" t="str">
        <x:v>governance; housing; inequality</x:v>
      </x:c>
      <x:c r="F27" s="41" t="str">
        <x:v>governance: local government board | housing: houses, overcrowding | inequality: lodging-houses</x:v>
      </x:c>
      <x:c r="G27" s="41"/>
      <x:c r="H27" s="41" t="str">
        <x:v>Mixed</x:v>
      </x:c>
      <x:c r="I27" s="41" t="str">
        <x:v>lowest class</x:v>
      </x:c>
      <x:c r="J27" s="41" t="str">
        <x:v>overcrowding; lodging-house; shelter</x:v>
      </x:c>
      <x:c r="K27" s="41" t="str">
        <x:v>Yes</x:v>
      </x:c>
      <x:c r="L27" s="41" t="str">
        <x:v>Yes — original page image checked</x:v>
      </x:c>
      <x:c r="M27" s="41" t="str">
        <x:v>https://wellcomelibrary.org/moh/report/b19883687</x:v>
      </x:c>
      <x:c r="N27" s="41" t="str">
        <x:v>These houses are under certain regulations which are framed under the Lodging-houses Acts. These regulations are now administered by the London County Council. It is felt that shelters which are in themselves totally unsuitable for the purpose, and into which large numbers of the lowest class of persons are crowded, must influence very adversely the health of the District generally. At present, in the absence of regulations, it would be difficult to obtain a conviction before a Magistrate in a prosecution for overcrowding, because those allowances of space which can be enforced in the case of Registered Common Lodging-houses, are thought by many to be too liberal to be applied to Philanthropic Shelters. On August the 2nd a letter was received from the Secretary of the Local Government Board addressed to your Clerk. It called attention to the fact that Small-pox was on the increase in the Metropolis, and it pointed out that the season of the year was not the season when a large increase usually took place.</x:v>
      </x:c>
    </x:row>
    <x:row r="28" ht="78" customHeight="1">
      <x:c r="A28" s="41" t="str">
        <x:v>1895_0014</x:v>
      </x:c>
      <x:c r="B28" s="41" t="n">
        <x:v>1895</x:v>
      </x:c>
      <x:c r="C28" s="41" t="n">
        <x:v>1896</x:v>
      </x:c>
      <x:c r="D28" s="41" t="str">
        <x:v>Automated inequality category</x:v>
      </x:c>
      <x:c r="E28" s="41" t="str">
        <x:v>governance; housing; inequality</x:v>
      </x:c>
      <x:c r="F28" s="41" t="str">
        <x:v>governance: local government board | housing: houses | inequality: infirmary, lodging-houses</x:v>
      </x:c>
      <x:c r="G28" s="41"/>
      <x:c r="H28" s="41" t="str">
        <x:v>Indirect/material</x:v>
      </x:c>
      <x:c r="I28" s="41" t="str"/>
      <x:c r="J28" s="41" t="str">
        <x:v>lodging-house; shelter</x:v>
      </x:c>
      <x:c r="K28" s="41" t="str">
        <x:v>No</x:v>
      </x:c>
      <x:c r="L28" s="41" t="str">
        <x:v>Pending</x:v>
      </x:c>
      <x:c r="M28" s="41" t="str">
        <x:v>https://wellcomelibrary.org/moh/report/b19883687</x:v>
      </x:c>
      <x:c r="N28" s="41" t="str">
        <x:v>No re-vaccinated person properly so called contracted the disease. A second letter as to persons who had Small-pox, and who were not removed to hospital, was received from the Local Government Board. The matters mentioned therein have been included in the above Report. I have only to add that I have supplied the Infirmary Medical Superintendent with Vaccine Lymph sufficient to re-vaccinate the staff and many of the patients. So far as I can learn, only one woman�a scrubber at the Infirmarycontracted Small-pox. She had not been re-vaccinated. I believe that I have re-vaccinated nearly all the persons who are employed at the Salvation Army Shelter in the Whitechapel Road, and also the men employed at the Victoria Home, No. 1 in Commercial Street, where 8 of the cases occurred. As a matter of fact, therefore, 50 per cent, of the cases were reported as coming from Salvation Army Shelters, 25 per cent, from private houses, and 25 per cent, from Registered Common Lodging-houses, the Whitechapel Infirmary, and from all outside Philanthropic Shelters. At present about 16 of the cases may be centres from which fresh cases may arise, and to these our attention must remain for the present directed.</x:v>
      </x:c>
    </x:row>
    <x:row r="29" ht="78" customHeight="1">
      <x:c r="A29" s="41" t="str">
        <x:v>1895_0034</x:v>
      </x:c>
      <x:c r="B29" s="41" t="n">
        <x:v>1895</x:v>
      </x:c>
      <x:c r="C29" s="41" t="n">
        <x:v>1896</x:v>
      </x:c>
      <x:c r="D29" s="41" t="str">
        <x:v>Automated inequality category</x:v>
      </x:c>
      <x:c r="E29" s="41" t="str">
        <x:v>governance; housing; inequality</x:v>
      </x:c>
      <x:c r="F29" s="41" t="str">
        <x:v>governance: medical officer | housing: houses | inequality: lodgers, lodging-houses</x:v>
      </x:c>
      <x:c r="G29" s="41"/>
      <x:c r="H29" s="41" t="str">
        <x:v>Indirect/material</x:v>
      </x:c>
      <x:c r="I29" s="41" t="str"/>
      <x:c r="J29" s="41" t="str">
        <x:v>lodging-house</x:v>
      </x:c>
      <x:c r="K29" s="41" t="str">
        <x:v>No</x:v>
      </x:c>
      <x:c r="L29" s="41" t="str">
        <x:v>Pending</x:v>
      </x:c>
      <x:c r="M29" s="41" t="str">
        <x:v>https://wellcomelibrary.org/moh/report/b19883687</x:v>
      </x:c>
      <x:c r="N29" s="41" t="str">
        <x:v>There has been a Bill drafted for presentation to Parliament next Session to promote the supply of sea water to the inhabitants of London. I wish it every success. Kegistered Common Lodging-houses have now been controlled by the London County Council for more than a year. I have been supplied by the Medical Officer cT Health with a list of such houses. I have myself inspected many of them and am able to bear witness to the thorough manner in which the work is being performed. The total has again been reduced to 80. Many improvements of a structural character have been, and are being, carried out. It is still, however, certain that many of the existing houses require to be dealt with. I am aware that in some cases leases will shortly expire, and then no doubt the Surveyor to the Council will interpose to prevent a continuance of the Licenses. The Lodging-houses provide accommodation for 5,612 persons, who are, generally speaking, not stationary for long at a time. I understand that where the lodgers are selected by the deputies, as is the case with the " Victoria Homes," and with the new house of Mr.</x:v>
      </x:c>
    </x:row>
    <x:row r="30" ht="78" customHeight="1">
      <x:c r="A30" s="41" t="str">
        <x:v>1896_0021</x:v>
      </x:c>
      <x:c r="B30" s="41" t="n">
        <x:v>1896</x:v>
      </x:c>
      <x:c r="C30" s="41" t="n">
        <x:v>1897</x:v>
      </x:c>
      <x:c r="D30" s="41" t="str">
        <x:v>Automated inequality category</x:v>
      </x:c>
      <x:c r="E30" s="41" t="str">
        <x:v>housing; inequality</x:v>
      </x:c>
      <x:c r="F30" s="41" t="str">
        <x:v>housing: dwellings | inequality: poor</x:v>
      </x:c>
      <x:c r="G30" s="41"/>
      <x:c r="H30" s="41" t="str">
        <x:v>Explicit social language</x:v>
      </x:c>
      <x:c r="I30" s="41" t="str">
        <x:v>poor</x:v>
      </x:c>
      <x:c r="J30" s="41" t="str">
        <x:v>closet</x:v>
      </x:c>
      <x:c r="K30" s="41" t="str">
        <x:v>Yes</x:v>
      </x:c>
      <x:c r="L30" s="41" t="str">
        <x:v>Pending</x:v>
      </x:c>
      <x:c r="M30" s="41" t="str">
        <x:v>https://wellcomelibrary.org/moh/report/b18038244</x:v>
      </x:c>
      <x:c r="N30" s="41" t="str">
        <x:v>As an illustration, you may remember how the Mansion House Council on the Dwellings of the Poor, through their local agent, proceeded against the owners of Booth Street Buildings under the Public Health (London) Act, 1891. It was alleged that your Officers had not performed their duty. The case was heard upon two occasions by Mr. Cluer at the Worship Street Police Court. The evidence for the prosecution was heard by me with great astonishment. I was present upon subpoena and gave evidence. The best comment upon the whole case is the summing up of the learned magistrate which I introduce here. "I do not see I have any option but "to dismiss this summons, I shall not be entitled to make an order "against the owner of these premises, unless they were in such a state as "to be injurious to health, and that was in the information set out. "With reference to the water-closets, the evidence as to that satisfies me "that though not perhaps such as would be seen in King's Palaces, at "the same time it is said by Dr.</x:v>
      </x:c>
    </x:row>
    <x:row r="31" ht="78" customHeight="1">
      <x:c r="A31" s="41" t="str">
        <x:v>1896_0029</x:v>
      </x:c>
      <x:c r="B31" s="41" t="n">
        <x:v>1896</x:v>
      </x:c>
      <x:c r="C31" s="41" t="n">
        <x:v>1897</x:v>
      </x:c>
      <x:c r="D31" s="41" t="str">
        <x:v>Automated inequality category</x:v>
      </x:c>
      <x:c r="E31" s="41" t="str">
        <x:v>housing; inequality; sanitary</x:v>
      </x:c>
      <x:c r="F31" s="41" t="str">
        <x:v>housing: houses | inequality: infirmary, lodging-houses | sanitary: drainage, sanitary</x:v>
      </x:c>
      <x:c r="G31" s="41"/>
      <x:c r="H31" s="41" t="str">
        <x:v>Indirect/material</x:v>
      </x:c>
      <x:c r="I31" s="41" t="str"/>
      <x:c r="J31" s="41" t="str">
        <x:v>drainage; drain; single room; lodging-house</x:v>
      </x:c>
      <x:c r="K31" s="41" t="str">
        <x:v>Yes</x:v>
      </x:c>
      <x:c r="L31" s="41" t="str">
        <x:v>Pending</x:v>
      </x:c>
      <x:c r="M31" s="41" t="str">
        <x:v>https://wellcomelibrary.org/moh/report/b18038244</x:v>
      </x:c>
      <x:c r="N31" s="41" t="str">
        <x:v>A large number of the cases belonged to persons occupying only a single room. The Mortuary therefore has been a practical help in the sanitary work of the District. This remark applies both to the Jewish and general inhabitants, for all classes can and do avail themselves of the advantages of the building. At a recent meeting of the Sanitary Committee a Member called attention to the good work being performed by the Mortuary Keepers. I desire to endorse the commendation most heartily. 13 In again drawing attention to the Registered Common Lodging-Houses within the District I have little to add to the statement contained in my last Report. The London County Council's Officers are carefully going over the Houses, and improving the drainage connected with them. Your Officers assist so far as to overlook the work during its progress. For reference and comparison purpose I here introduce the customary information appertaining to this class of property:- 1896. Registered Common LodgingHouses. No. of Admissions to Infirmary. Registered Common LodingHouses. No. of Admissions to Infirmary.</x:v>
      </x:c>
    </x:row>
    <x:row r="32" ht="78" customHeight="1">
      <x:c r="A32" s="41" t="str">
        <x:v>1897_0007</x:v>
      </x:c>
      <x:c r="B32" s="41" t="n">
        <x:v>1897</x:v>
      </x:c>
      <x:c r="C32" s="41" t="n">
        <x:v>1898</x:v>
      </x:c>
      <x:c r="D32" s="41" t="str">
        <x:v>Automated inequality category</x:v>
      </x:c>
      <x:c r="E32" s="41" t="str">
        <x:v>disease; housing; inequality; sanitary</x:v>
      </x:c>
      <x:c r="F32" s="41" t="str">
        <x:v>disease: diphtheria, scarlet fever | housing: dwellings, houses, model dwellings, rooms | inequality: working classes | sanitary: sanitation</x:v>
      </x:c>
      <x:c r="G32" s="41"/>
      <x:c r="H32" s="41" t="str">
        <x:v>Ambiguous</x:v>
      </x:c>
      <x:c r="I32" s="41" t="str">
        <x:v>working class; working classes</x:v>
      </x:c>
      <x:c r="J32" s="41" t="str">
        <x:v>rooms; cistern</x:v>
      </x:c>
      <x:c r="K32" s="41" t="str">
        <x:v>Yes</x:v>
      </x:c>
      <x:c r="L32" s="41" t="str">
        <x:v>Pending</x:v>
      </x:c>
      <x:c r="M32" s="41" t="str">
        <x:v>https://wellcomelibrary.org/moh/report/b19883699</x:v>
      </x:c>
      <x:c r="N32" s="41" t="str">
        <x:v>A staircase leading to a corridor which affords access to many rooms more easily facilitates the spread of disease than in the case of tenements which are more separated. It may also be said that as the staircases and passages frequently have to constitute the playground of the children, another factor is imported to account for the spread of disease. I have collected evidence which supports my opinion that both scarlet fever and diphtheria evince a marked tendency to appear in families who occupy rooms which are adjacent to other rooms where the disease has already appeared. Small houses, with rooms which can be entered from independent staircases commend themselves to my mind as far preferable from many points of view, as dwellings for the working classes; it is 5 certain, however, that owing to the increasing value of land in the Metropolis this desideratum is not yet to be attained. The height too of these modern model dwellings stands in the way of furnishing them with a constant supply of drinking water, The water must, therefore, be stored in cisterns of sufficient capacity to supply all but the lower floors, and this arrangement certainly is not in the direction of improved sanitation.</x:v>
      </x:c>
    </x:row>
    <x:row r="33" ht="78" customHeight="1">
      <x:c r="A33" s="41" t="str">
        <x:v>1897_0021</x:v>
      </x:c>
      <x:c r="B33" s="41" t="n">
        <x:v>1897</x:v>
      </x:c>
      <x:c r="C33" s="41" t="n">
        <x:v>1898</x:v>
      </x:c>
      <x:c r="D33" s="41" t="str">
        <x:v>Automated inequality category</x:v>
      </x:c>
      <x:c r="E33" s="41" t="str">
        <x:v>governance; inequality; sanitary</x:v>
      </x:c>
      <x:c r="F33" s="41" t="str">
        <x:v>governance: board | inequality: working classes | sanitary: drain, drainage</x:v>
      </x:c>
      <x:c r="G33" s="41"/>
      <x:c r="H33" s="41" t="str">
        <x:v>Administrative/legal category</x:v>
      </x:c>
      <x:c r="I33" s="41" t="str">
        <x:v>working class; working classes</x:v>
      </x:c>
      <x:c r="J33" s="41" t="str">
        <x:v>drainage; drain</x:v>
      </x:c>
      <x:c r="K33" s="41" t="str">
        <x:v>No</x:v>
      </x:c>
      <x:c r="L33" s="41" t="str">
        <x:v>Pending</x:v>
      </x:c>
      <x:c r="M33" s="41" t="str">
        <x:v>https://wellcomelibrary.org/moh/report/b19883699</x:v>
      </x:c>
      <x:c r="N33" s="41" t="str">
        <x:v>No exception now is made in any case. During the year an immense amount of drain work has been supervised by your Inspectors, and I regard this work as of the highest importance. Some difficulty has occasionally arisen when combined drainage has been met with. At a Conference called together at Holborn to consider the question, after several meetings the representatives of the Metropolitan Vestries and Boards agreed upon the wording of a Bill which was drafted to meet the difficulty, and it was resolved to request the London County Council to introduce it during the next Session of Parliament. I am often spoken to by members of the Board on the subject of " The Bell Lane area, Whitechapel," as it has been called for over 20 years. You are aware that Middlesex Street and Sandy's Row have been widened. This has caused the demolition of some of the insanitary property which was included in the original representation. All the members of the Board may not have seen a Report of the Housing of the Working Classes Committee of the London County Council, which was agreed to by the Council during the first quarter of the year.</x:v>
      </x:c>
    </x:row>
    <x:row r="34" ht="78" customHeight="1">
      <x:c r="A34" s="41" t="str">
        <x:v>1897_0024</x:v>
      </x:c>
      <x:c r="B34" s="41" t="n">
        <x:v>1897</x:v>
      </x:c>
      <x:c r="C34" s="41" t="n">
        <x:v>1898</x:v>
      </x:c>
      <x:c r="D34" s="41" t="str">
        <x:v>Automated inequality category</x:v>
      </x:c>
      <x:c r="E34" s="41" t="str">
        <x:v>governance; inequality; sanitary</x:v>
      </x:c>
      <x:c r="F34" s="41" t="str">
        <x:v>governance: board | inequality: working classes | sanitary: water supply</x:v>
      </x:c>
      <x:c r="G34" s="41"/>
      <x:c r="H34" s="41" t="str">
        <x:v>Administrative/legal category</x:v>
      </x:c>
      <x:c r="I34" s="41" t="str">
        <x:v>working class; working classes</x:v>
      </x:c>
      <x:c r="J34" s="41" t="str">
        <x:v>water supply</x:v>
      </x:c>
      <x:c r="K34" s="41" t="str">
        <x:v>Yes</x:v>
      </x:c>
      <x:c r="L34" s="41" t="str">
        <x:v>Yes — original page image checked</x:v>
      </x:c>
      <x:c r="M34" s="41" t="str">
        <x:v>https://wellcomelibrary.org/moh/report/b19883699</x:v>
      </x:c>
      <x:c r="N34" s="41" t="str">
        <x:v>In the event, however, of an arrangement not being come to on "this point, we propose that the Council should ce-operate with Sir A. Osborn by "putting in force the provisions of the Housing of the Working Classes Act, 1890, "with a view to acquiring compulsorily suoh of the leasehold interests as he may "be unable to obtain possession of within a reasonable time, the Council being "reimbursed the cost of such acquisition." Then follows some details as to the prices agreed upon, and the proposed recommendation to the Council. I quite expected to have seen some evidence before now that the " Bell Lane area " scheme was at last likely to be an accomplished fact�but whatever the cause of the delay may be at present, the area remains in a worse state than ever. I am afraid it will be necessary for me to ask the Board to intervene with regard to some parts of the area. I do not propose to say much about the water supply in the District as a Royal Commission is now enquiring into the whole matter of the Metropolitan Water Supply.</x:v>
      </x:c>
    </x:row>
    <x:row r="35" ht="78" customHeight="1">
      <x:c r="A35" s="41" t="str">
        <x:v>1898_0008</x:v>
      </x:c>
      <x:c r="B35" s="41" t="n">
        <x:v>1898</x:v>
      </x:c>
      <x:c r="C35" s="41" t="n">
        <x:v>1899</x:v>
      </x:c>
      <x:c r="D35" s="41" t="str">
        <x:v>Automated inequality category</x:v>
      </x:c>
      <x:c r="E35" s="41" t="str">
        <x:v>governance; inequality; sanitary</x:v>
      </x:c>
      <x:c r="F35" s="41" t="str">
        <x:v>governance: board, notices | inequality: poor, poorer | sanitary: drains, nuisance, water supply</x:v>
      </x:c>
      <x:c r="G35" s="41"/>
      <x:c r="H35" s="41" t="str">
        <x:v>Mixed</x:v>
      </x:c>
      <x:c r="I35" s="41" t="str">
        <x:v>poor; poorer</x:v>
      </x:c>
      <x:c r="J35" s="41" t="str">
        <x:v>drain; water supply; water closet; closet; nuisance</x:v>
      </x:c>
      <x:c r="K35" s="41" t="str">
        <x:v>Yes</x:v>
      </x:c>
      <x:c r="L35" s="41" t="str">
        <x:v>Yes — original page image checked</x:v>
      </x:c>
      <x:c r="M35" s="41" t="str">
        <x:v>https://wellcomelibrary.org/moh/report/b19883705</x:v>
      </x:c>
      <x:c r="N35" s="41" t="str">
        <x:v>Stand pipes for the supply of water were erected in prominent places. Street watering and gulley flushing ceased to take place with East London Water�but water from the New River, as well as from the well in the Destructor Yard was freely used for these purposes. The East London Waterworks Company arranged to supply the Board with as many stone jars as should be required for distribution among the poorer inhabitants who were unable to store water for drinking purposes. Notices were printed and distributed throughout the District informing the inhabitants of the hours when the Company had arranged to turn on the water, and also stating that application could be made at the Offices of the Board by persons who required jars. The reason for the latter notice was to enable the Inspectors to visit the homes of applicants, to get information at once of any nuisance which might arise through the limitation of the Water Supply. It soon became apparent that the pans of water closets in the homes of the poor were liable to become choked, and that the house drains became foul where they were used by many people.</x:v>
      </x:c>
    </x:row>
    <x:row r="36" ht="78" customHeight="1">
      <x:c r="A36" s="41" t="str">
        <x:v>1898_0009</x:v>
      </x:c>
      <x:c r="B36" s="41" t="n">
        <x:v>1898</x:v>
      </x:c>
      <x:c r="C36" s="41" t="n">
        <x:v>1899</x:v>
      </x:c>
      <x:c r="D36" s="41" t="str">
        <x:v>Automated inequality category (dictionary-synchronised)</x:v>
      </x:c>
      <x:c r="E36" s="41" t="str">
        <x:v>disease; housing; inequality; sanitary</x:v>
      </x:c>
      <x:c r="F36" s="41" t="str">
        <x:v>disease: notification | housing: houses | inequality: poorest | sanitary: water supply</x:v>
      </x:c>
      <x:c r="G36" s="41"/>
      <x:c r="H36" s="41" t="str">
        <x:v>Mixed</x:v>
      </x:c>
      <x:c r="I36" s="41" t="str">
        <x:v>poor; poorest</x:v>
      </x:c>
      <x:c r="J36" s="41" t="str">
        <x:v>water supply; water closet; closet</x:v>
      </x:c>
      <x:c r="K36" s="41" t="str">
        <x:v>Yes</x:v>
      </x:c>
      <x:c r="L36" s="41" t="str">
        <x:v>Yes — original page image checked</x:v>
      </x:c>
      <x:c r="M36" s="41" t="str">
        <x:v>https://wellcomelibrary.org/moh/report/b19883705</x:v>
      </x:c>
      <x:c r="N36" s="41" t="str">
        <x:v>With the co-operation of the Surveyor, after a consultation with that gentleman and with the Clerks, it was arranged that water vans should be employed to take water to those houses which required it, and that regular daily flushing of water closets of such houses should be carried out. From this time until the Company renewed the constant water supply, nine men were constantly employed with three water vans in carrying on this useful work Each closet which was discovered to be choked, was cleared by means of a plunger, then pails of water were dashed down, and disinfectants were also freely used. Constant service was resumed on the 12th of December, a nine hours supply having taken place on November 23rd. In addition to the above measures, disinfection was regularly performed with per-chloride solution by an additional man. The water closets connected with nearly 300 of the houses occupied by the poorest people were thus daily treated. Whether these precautions limited the number of Infectious cases it is of course impossible to say, but it is interesting to note that the fees paid during the third quarter, for the notification of such diseases, were the lowest since any record has been kept.</x:v>
      </x:c>
    </x:row>
    <x:row r="37" ht="78" customHeight="1">
      <x:c r="A37" s="41" t="str">
        <x:v>1899_0002</x:v>
      </x:c>
      <x:c r="B37" s="41" t="n">
        <x:v>1899</x:v>
      </x:c>
      <x:c r="C37" s="41" t="n">
        <x:v>1900</x:v>
      </x:c>
      <x:c r="D37" s="41" t="str">
        <x:v>Automated inequality category</x:v>
      </x:c>
      <x:c r="E37" s="41" t="str">
        <x:v>governance; housing; inequality</x:v>
      </x:c>
      <x:c r="F37" s="41" t="str">
        <x:v>governance: board, medical officer | housing: dwellings, houses | inequality: working classes</x:v>
      </x:c>
      <x:c r="G37" s="41" t="str">
        <x:v>foreign population</x:v>
      </x:c>
      <x:c r="H37" s="41" t="str">
        <x:v>Explicit social language</x:v>
      </x:c>
      <x:c r="I37" s="41" t="str">
        <x:v>working class; working classes; foreign population</x:v>
      </x:c>
      <x:c r="J37" s="41" t="str"/>
      <x:c r="K37" s="41" t="str">
        <x:v>Yes</x:v>
      </x:c>
      <x:c r="L37" s="41" t="str">
        <x:v>Pending</x:v>
      </x:c>
      <x:c r="M37" s="41" t="str">
        <x:v>https://wellcomelibrary.org/moh/report/b19883717</x:v>
      </x:c>
      <x:c r="N37" s="41" t="str">
        <x:v>Many houses existed in the year 1883 which have been replaced by dwellings better suited for occupation by the Working Classes. Under the provisions of the Artizans and Labourers' Dwellings Acts a good deal of vacant land existed upon which now stand dwellings which afford a splendid contrast to those which formerly existed. Not only have many parts of the District became thus changed, but the population as well have become altered in character and in nationality. As it is possible that this may be my last Annual Health Report (it certainly will be my last as the Medical Officer of your Board) I thought that it would be interesting to most members, and perhaps it might afford information to some, if I were to devote a few lines, and also a comprehensive Table, to explain some of those changes which have taken place. The Census Returns of 1891 gave evidence of the enormous increase in the Foreign population which had taken place during the preceding ten years. In my opinion that increase has been maintained.</x:v>
      </x:c>
    </x:row>
    <x:row r="38" ht="78" customHeight="1">
      <x:c r="A38" s="41" t="str">
        <x:v>1899_0003</x:v>
      </x:c>
      <x:c r="B38" s="41" t="n">
        <x:v>1899</x:v>
      </x:c>
      <x:c r="C38" s="41" t="n">
        <x:v>1900</x:v>
      </x:c>
      <x:c r="D38" s="41" t="str">
        <x:v>Supplementary manual social-language scan</x:v>
      </x:c>
      <x:c r="E38" s="41" t="str">
        <x:v>governance; housing</x:v>
      </x:c>
      <x:c r="F38" s="41" t="str">
        <x:v>governance: board, local government board | housing: houses</x:v>
      </x:c>
      <x:c r="G38" s="41" t="str">
        <x:v>foreign population</x:v>
      </x:c>
      <x:c r="H38" s="41" t="str">
        <x:v>Explicit social language</x:v>
      </x:c>
      <x:c r="I38" s="41" t="str">
        <x:v>foreign population</x:v>
      </x:c>
      <x:c r="J38" s="41" t="str"/>
      <x:c r="K38" s="41" t="str">
        <x:v>Yes</x:v>
      </x:c>
      <x:c r="L38" s="41" t="str">
        <x:v>Yes — original page image checked</x:v>
      </x:c>
      <x:c r="M38" s="41" t="str">
        <x:v>https://wellcomelibrary.org/moh/report/b19883717</x:v>
      </x:c>
      <x:c r="N38" s="41" t="str">
        <x:v>At the present time a stranger might readily imagine some parts of our District to belong to a Continental City. The general result from a Public Health point of view of this increase in the Foreign population has been to call for much greater vigilance on the part of your Officers, for I am compelled to admit that neither the owners of houses in the Foreign portions of the District, nor the Tenants themselves, are inclined voluntarily to exert themselves to maintain their property in the best approved condition. It was at first thought that the Public Health (London) Act, 1891, Sec. 94, would have proved most useful in this direction. I anticipated when that class of property which I am now considering was registered, that it would become a simple matter to enforce the provisions of the byelaws which were made under that Section, and which were approved by the Local Government Board. There was a stumbling-block, however, in the exemption clause which permitted the very places to escape registration for which the clause had evidently been framed, merely because higher rents were imposed than allowed them to be included upon the Register for "Houses let in Lodgings and occupied by members of more than one Family." 4 Your Board recently had this question under discussion.</x:v>
      </x:c>
    </x:row>
    <x:row r="39" ht="78" customHeight="1">
      <x:c r="A39" s="41" t="str">
        <x:v>1899_0024</x:v>
      </x:c>
      <x:c r="B39" s="41" t="n">
        <x:v>1899</x:v>
      </x:c>
      <x:c r="C39" s="41" t="n">
        <x:v>1900</x:v>
      </x:c>
      <x:c r="D39" s="41" t="str">
        <x:v>Automated inequality category</x:v>
      </x:c>
      <x:c r="E39" s="41" t="str">
        <x:v>governance; inequality</x:v>
      </x:c>
      <x:c r="F39" s="41" t="str">
        <x:v>governance: board | inequality: infirmary</x:v>
      </x:c>
      <x:c r="G39" s="41"/>
      <x:c r="H39" s="41" t="str">
        <x:v>Ambiguous</x:v>
      </x:c>
      <x:c r="I39" s="41" t="str"/>
      <x:c r="J39" s="41" t="str"/>
      <x:c r="K39" s="41" t="str">
        <x:v>No</x:v>
      </x:c>
      <x:c r="L39" s="41" t="str">
        <x:v>Pending</x:v>
      </x:c>
      <x:c r="M39" s="41" t="str">
        <x:v>https://wellcomelibrary.org/moh/report/b19883717</x:v>
      </x:c>
      <x:c r="N39" s="41" t="str">
        <x:v>Larder that in addition to the number admitted by the Medical Officers, many more were received on the score of urgency, without the patients having gone through the customary routine. In all 6,047 persons were treated by the Medical Superintendent of the Infirmary during the year. Probably the following particulars of the new Sale of Food and Drags Act, 1899, will be found useful. Sale of Food and Drugs' Act, 1899.�The Board of Agriculture is responsible for this important addition to the Statute Book. It came into operation on the 1st January, 1900. The several circulars which have been issued by the Board of Agriculture draw the attention of Local Authorities to the more important of its provisions. Under Section 2 (1) of the new Act the Board of Agriculture may procure for analysis samples of any article of food, and thereupon the powers and provisions of the Acts, with respect to the procuring of samples will be applicable, subject to certain modifications. The Act provides (Section 26) that, for the purposes of the Sale of Food and Drugs Acts, the expression " food " shall include every article used for food or drink by man, other than drugs or water, and any article which ordinarily enters into or is used in the composition or preparation of human food; and shall also include flavouring matter and condiments.</x:v>
      </x:c>
    </x:row>
    <x:row r="40" ht="78" customHeight="1">
      <x:c r="A40" s="41" t="str">
        <x:v>1899_0034</x:v>
      </x:c>
      <x:c r="B40" s="41" t="n">
        <x:v>1899</x:v>
      </x:c>
      <x:c r="C40" s="41" t="n">
        <x:v>1900</x:v>
      </x:c>
      <x:c r="D40" s="41" t="str">
        <x:v>Automated inequality category</x:v>
      </x:c>
      <x:c r="E40" s="41" t="str">
        <x:v>governance; housing; inequality</x:v>
      </x:c>
      <x:c r="F40" s="41" t="str">
        <x:v>governance: medical officer | housing: common lodging house, dwellings | inequality: poorer</x:v>
      </x:c>
      <x:c r="G40" s="41"/>
      <x:c r="H40" s="41" t="str">
        <x:v>Mixed</x:v>
      </x:c>
      <x:c r="I40" s="41" t="str">
        <x:v>poor; poorer</x:v>
      </x:c>
      <x:c r="J40" s="41" t="str">
        <x:v>lodging-house; lodging house; shelter</x:v>
      </x:c>
      <x:c r="K40" s="41" t="str">
        <x:v>No</x:v>
      </x:c>
      <x:c r="L40" s="41" t="str">
        <x:v>Pending</x:v>
      </x:c>
      <x:c r="M40" s="41" t="str">
        <x:v>https://wellcomelibrary.org/moh/report/b19883717</x:v>
      </x:c>
      <x:c r="N40" s="41" t="str">
        <x:v>This has now been reversed. In the course of an elaborate judgment in the Divisional Court on the 21st December last, the Lord Chief Justice said : "We know of no better description of a common lodging house than that given by the then Law Officers, Sir Alexander Cockburn and Sir W. Page Wood, to the effect that a common lodging-house was that class of lodging-house in which persons of the poorer class are received for short periods, and although strangers to one another, are allowed to inhabit one common room." If this be the proper description of a common lodginghouse, as we think it is, we cannot see in what material respect it differs from the Respondent's shelter. We arrive therefore, without hesitation, to the conclusion that such shelter is a common lodging house within the Act of 1853. It follows, that we think that Booth v. Ferrett was wrongly decided and that the Magistrate's decision now given was wrong in point of law. 17 Memorandum concerning the following Report and Tables: The Artizans and Labourers' Dwellings Improvement Act, 1875, resulted in your Medical Officer, Mr.</x:v>
      </x:c>
    </x:row>
    <x:row r="41" ht="78" customHeight="1">
      <x:c r="A41" s="41" t="str">
        <x:v>1899_0035</x:v>
      </x:c>
      <x:c r="B41" s="41" t="n">
        <x:v>1899</x:v>
      </x:c>
      <x:c r="C41" s="41" t="n">
        <x:v>1900</x:v>
      </x:c>
      <x:c r="D41" s="41" t="str">
        <x:v>Automated inequality category</x:v>
      </x:c>
      <x:c r="E41" s="41" t="str">
        <x:v>governance; inequality</x:v>
      </x:c>
      <x:c r="F41" s="41" t="str">
        <x:v>governance: board, medical officer | inequality: working classes</x:v>
      </x:c>
      <x:c r="G41" s="41"/>
      <x:c r="H41" s="41" t="str">
        <x:v>Ambiguous</x:v>
      </x:c>
      <x:c r="I41" s="41" t="str">
        <x:v>working class; working classes; labouring class</x:v>
      </x:c>
      <x:c r="J41" s="41" t="str"/>
      <x:c r="K41" s="41" t="str">
        <x:v>No</x:v>
      </x:c>
      <x:c r="L41" s="41" t="str">
        <x:v>Pending</x:v>
      </x:c>
      <x:c r="M41" s="41" t="str">
        <x:v>https://wellcomelibrary.org/moh/report/b19883717</x:v>
      </x:c>
      <x:c r="N41" s="41" t="str">
        <x:v>Liddle, representing certain property under the Act in 1877. In the same year Sir Richard A. Cross (the Home Secretary) issued a Provisional Order�and the schemes for the demolition of the condemned areas were proceeded with. In 1881, re-building upon one of the Sites took place, viz. :�Upon the Glasshouse Street area. I have, therefore, in the following lists included this area, and afterwards all other property of any significance which has to any extent affected the housing of the working classes. The Tables, therefore, which accompanied my Report, a copy of which was sent to the London County Council, have been considerably enlarged. Report by the Medical Officer of Health for the Whitechapel District Board, of Works�prepared by Instruction of the Board�and presented to the Board on the 18th December, 1899. Subject:�Information requested for the Parliamentary Committee of the London County Council as to "accommodation provided for re-housing persons of the Labouring Class who are displaced by the Works of Railway and other undertakings" in the Whitechapel District. The information asked for is requested to be arranged in Tabular form and to comprise the last ten years operations of the description mentioned.</x:v>
      </x:c>
    </x:row>
    <x:row r="42" ht="78" customHeight="1">
      <x:c r="A42" s="41" t="str">
        <x:v>1899_0038</x:v>
      </x:c>
      <x:c r="B42" s="41" t="n">
        <x:v>1899</x:v>
      </x:c>
      <x:c r="C42" s="41" t="n">
        <x:v>1900</x:v>
      </x:c>
      <x:c r="D42" s="41" t="str">
        <x:v>Automated inequality category</x:v>
      </x:c>
      <x:c r="E42" s="41" t="str">
        <x:v>governance; housing; inequality</x:v>
      </x:c>
      <x:c r="F42" s="41" t="str">
        <x:v>governance: board | housing: dwellings, houses, model dwellings | inequality: working classes</x:v>
      </x:c>
      <x:c r="G42" s="41"/>
      <x:c r="H42" s="41" t="str">
        <x:v>Ambiguous</x:v>
      </x:c>
      <x:c r="I42" s="41" t="str">
        <x:v>working class; working classes</x:v>
      </x:c>
      <x:c r="J42" s="41" t="str"/>
      <x:c r="K42" s="41" t="str">
        <x:v>Yes</x:v>
      </x:c>
      <x:c r="L42" s="41" t="str">
        <x:v>Yes — original page image checked</x:v>
      </x:c>
      <x:c r="M42" s="41" t="str">
        <x:v>https://wellcomelibrary.org/moh/report/b19883717</x:v>
      </x:c>
      <x:c r="N42" s="41" t="str">
        <x:v>Various Blocks of Model Dwellings have been erected upon land which, although vacant for some years, had originally houses upon it in such a condition as to cause the Metropolitan Board of Works to invoke Cross' Act to clear it. I allude to Flower and Dean Street, Thrawl Street, &amp;c. Then, again, some houseB have been purchased for Commercial purposes, and Warehouses already take the place of Dwellings�such as the Wool Warehouses and Messrs. Kinloch's Warehouse in Back Church Lane. Again, over 300 persons have vacated in the past few months houses which were in Courts in Back Church Lane ; here, vacant ground remains which probably will soon have Warehouses erected upon it. About 800 persons who occupied the 120 houses in the Bell Lane area have become scattered�although probably in a few months provision will be made to re-house as many, or perhaps more. In this work of improvement the London County Council have assisted. On the whole it is clear that more accommodation now exists for the working classes in the Whitechapel District than was the case before these changes took place.</x:v>
      </x:c>
    </x:row>
    <x:row r="43">
      <x:c r="A43" t="str">
        <x:v>1897_0009</x:v>
      </x:c>
      <x:c r="B43" t="n">
        <x:v>1897</x:v>
      </x:c>
      <x:c r="C43" t="n">
        <x:v>1898</x:v>
      </x:c>
      <x:c r="D43" t="str">
        <x:v>Automated inequality category (dictionary-synchronised)</x:v>
      </x:c>
      <x:c r="E43" t="str">
        <x:v>housing; inequality</x:v>
      </x:c>
      <x:c r="F43" t="str">
        <x:v>housing: houses, overcrowding, rooms | inequality: working class</x:v>
      </x:c>
      <x:c r="G43"/>
      <x:c r="H43" t="str">
        <x:v>Administrative/legal category</x:v>
      </x:c>
      <x:c r="I43" t="str">
        <x:v>working class</x:v>
      </x:c>
      <x:c r="J43" t="str">
        <x:v>overcrowding; rooms</x:v>
      </x:c>
      <x:c r="K43" t="str">
        <x:v>No</x:v>
      </x:c>
      <x:c r="L43" t="str">
        <x:v>Pending</x:v>
      </x:c>
      <x:c r="M43" t="str">
        <x:v>https://wellcomelibrary.org/moh/report/b19883699</x:v>
      </x:c>
      <x:c r="N43" t="str">
        <x:v>A builder who desired to erect houses of a certain height applied to the London County Council for permission, and exhibited his plans. He stated that the buildings were to consist of shops with dwelling houses over ohern. They were not to be built to let for occupation by persons of the working class. Without this undertaking sanction would have been withheld, but under the circumstances permission was granted. The houses when finished were let each to one tenant who paid a weekly rental. Tnis tenant sub-let each floor, and occasionally each room. A prosecution undertaken by the London County Council, under the London Building Act, resulted in a defeat before a Magistrate. Upon appeal the Magistrate's decision was upheld. Before leaving these preliminary remarks I must state that I do not thick very much overcrowding of rooms takes place within the District. Some night visits made by your Inspectors upon specific information have not resulted in proving definite overcrowding to be present to such an extent as to warrant legal proceedings.</x:v>
      </x:c>
    </x:row>
  </x:sheetData>
  <x:dataValidations count="2">
    <x:dataValidation type="list" sqref="K2:K42">
      <x:formula1>"Yes,No"</x:formula1>
    </x:dataValidation>
    <x:dataValidation type="list" sqref="L2:L42">
      <x:formula1>"Pending,Checked,Needs recheck,Exclude"</x:formula1>
    </x:dataValidation>
  </x:dataValidations>
  <x:pageMargins left="0.7" right="0.7" top="0.75" bottom="0.75" header="0.3" footer="0.3"/>
  <x:tableParts count="1">
    <x:tablePart xmlns:r="http://schemas.openxmlformats.org/officeDocument/2006/relationships" r:id="Re75698f2b3394efd"/>
  </x:tableParts>
</x:worksheet>
</file>

<file path=xl/worksheets/sheet4.xml><?xml version="1.0" encoding="utf-8"?>
<x:worksheet xmlns:x="http://schemas.openxmlformats.org/spreadsheetml/2006/main">
  <x:sheetFormatPr defaultRowHeight="15"/>
  <x:cols>
    <x:col min="1" max="1" width="15" hidden="0" customWidth="1"/>
    <x:col min="2" max="2" width="12" hidden="0" customWidth="1"/>
    <x:col min="3" max="3" width="12" hidden="0" customWidth="1"/>
    <x:col min="4" max="4" width="32" hidden="0" customWidth="1"/>
    <x:col min="5" max="5" width="32" hidden="0" customWidth="1"/>
    <x:col min="6" max="6" width="17" hidden="0" customWidth="1"/>
    <x:col min="7" max="7" width="17" hidden="0" customWidth="1"/>
    <x:col min="8" max="8" width="17" hidden="0" customWidth="1"/>
    <x:col min="9" max="9" width="24" hidden="0" customWidth="1"/>
    <x:col min="10" max="10" width="44" hidden="0" customWidth="1"/>
    <x:col min="11" max="11" width="44" hidden="0" customWidth="1"/>
    <x:col min="12" max="12" width="85" hidden="0" customWidth="1"/>
  </x:cols>
  <x:sheetData>
    <x:row r="1">
      <x:c r="A1" s="14" t="str">
        <x:v>Passage ID</x:v>
      </x:c>
      <x:c r="B1" s="14" t="str">
        <x:v>Report Year</x:v>
      </x:c>
      <x:c r="C1" s="14" t="str">
        <x:v>Publication Year</x:v>
      </x:c>
      <x:c r="D1" s="14" t="str">
        <x:v>Retrieval Categories</x:v>
      </x:c>
      <x:c r="E1" s="14" t="str">
        <x:v>Matched Terms</x:v>
      </x:c>
      <x:c r="F1" s="14" t="str">
        <x:v>Inequality Auto-Tagged</x:v>
      </x:c>
      <x:c r="G1" s="14" t="str">
        <x:v>Supplementary Social Scan</x:v>
      </x:c>
      <x:c r="H1" s="14" t="str">
        <x:v>Shortlisted</x:v>
      </x:c>
      <x:c r="I1" s="14" t="str">
        <x:v>Place Reference</x:v>
      </x:c>
      <x:c r="J1" s="14" t="str">
        <x:v>Source URL</x:v>
      </x:c>
      <x:c r="K1" s="14" t="str">
        <x:v>Source File</x:v>
      </x:c>
      <x:c r="L1" s="14" t="str">
        <x:v>Passage Text</x:v>
      </x:c>
    </x:row>
    <x:row r="2" ht="62" customHeight="1">
      <x:c r="A2" s="41" t="str">
        <x:v>1890_0008</x:v>
      </x:c>
      <x:c r="B2" s="41" t="n">
        <x:v>1890</x:v>
      </x:c>
      <x:c r="C2" s="41" t="n">
        <x:v>1891</x:v>
      </x:c>
      <x:c r="D2" s="41" t="str">
        <x:v>disease; governance; sanitary</x:v>
      </x:c>
      <x:c r="E2" s="41" t="str">
        <x:v>disease: diphtheria, isolation, measles, notification, scarlet fever | governance: inspection | sanitary: sanitary, sanitation</x:v>
      </x:c>
      <x:c r="F2" s="41" t="str">
        <x:v>No</x:v>
      </x:c>
      <x:c r="G2" s="41"/>
      <x:c r="H2" s="41" t="str">
        <x:v>No</x:v>
      </x:c>
      <x:c r="I2" s="41" t="str"/>
      <x:c r="J2" s="41" t="str">
        <x:v>https://wellcomelibrary.org/moh/report/b19883651</x:v>
      </x:c>
      <x:c r="K2" s="41" t="str">
        <x:v>data/moh_raw/Whitechapel_1890_b19883651_fulltext.txt</x:v>
      </x:c>
      <x:c r="L2" s="41" t="str">
        <x:v>At the same time, of course, due attention to improved sanitation is advisable, and in every case immediate isolation should be enforced. Measles, Whooping Cough, Diphtheria, and Diarrh�a, were fatal respectively in 59, 52, 53, and 59 cases, whilst all the other named 16 zymotic diseases proved fatal in 50 instances. Scarlet Fever was responsible for 17 deaths. The "Notification of Infectious Diseases Act" has been in operation during the year. From Table O * may be gleaned the enormous amount of labour which has been imposed upon your Sanitary staff by its provisions, for it must be borne in mind that every case has been inquired into, and in every case thorough disinfection has been carried out. Your Inspectors have furnished me with a Report detailing to some extent their work in this and other matters. It contains an epitome of their efforts for the welfare of the district, and therefore, whilst according to them personally my thanks for their co-operation, I have re-produced the chief items contained in their report for your information. Table P� tabulatos the most important items of the Inspectors' work for the year, and I am pleased to inform you that progress has been made in the sytematic house to house inspection through the district, which I foreshadowed in my last annual report.</x:v>
      </x:c>
    </x:row>
    <x:row r="3" ht="62" customHeight="1">
      <x:c r="A3" s="41" t="str">
        <x:v>1890_0010</x:v>
      </x:c>
      <x:c r="B3" s="41" t="n">
        <x:v>1890</x:v>
      </x:c>
      <x:c r="C3" s="41" t="n">
        <x:v>1891</x:v>
      </x:c>
      <x:c r="D3" s="41" t="str">
        <x:v>housing</x:v>
      </x:c>
      <x:c r="E3" s="41" t="str">
        <x:v>housing: rooms</x:v>
      </x:c>
      <x:c r="F3" s="41" t="str">
        <x:v>No</x:v>
      </x:c>
      <x:c r="G3" s="41"/>
      <x:c r="H3" s="41" t="str">
        <x:v>No</x:v>
      </x:c>
      <x:c r="I3" s="41" t="str">
        <x:v>George Yard</x:v>
      </x:c>
      <x:c r="J3" s="41" t="str">
        <x:v>https://wellcomelibrary.org/moh/report/b19883651</x:v>
      </x:c>
      <x:c r="K3" s="41" t="str">
        <x:v>data/moh_raw/Whitechapel_1890_b19883651_fulltext.txt</x:v>
      </x:c>
      <x:c r="L3" s="41" t="str">
        <x:v>By the kindness of your Surveyor I am 9 permitted to introduce a brief statement concerning the chief features of the District Mortuary and Coroner's Court, etc., which will be executed after the plans of Mr. W. La Riviere. He thus describes the proposed works :� The buildings are to be erected upon brick Arches, Girders, and Columns, all upon one floor, the dimensions of the different rooms being as follows :� Coroner's Court, 16 feet by 23 feet, lighted from above and side lights from George Yard. Coroner's Consulting Room, Lavatory attached, 9 feet by 12 feet, light from George Yard. Waiting Room, 10 feet by 12, Lavatory attached, lighted from Destructor Yard. Post Mortem Room, 15 feet by 12 feet, lighted from above and Destructor Yard (with necessary hot and cold water apparatus.) Infectious Mortuary, 14 feet by 12 feet, lighted from George Yard. Hebrew Mortuary, 16 feet by 12 feet, lighted from George Yard, Hebrew Watcher's Room and Lavatories attached, lighted from George Yard. Catacomb Mortuary, comprising ten separate compartments, with independent ventilation to each, and lighted and ventilated from above. Viewing Lobby to Mortuaries, 14 feet by 14 feet, lighted and ventilated from above.</x:v>
      </x:c>
    </x:row>
    <x:row r="4" ht="62" customHeight="1">
      <x:c r="A4" s="41" t="str">
        <x:v>1890_0011</x:v>
      </x:c>
      <x:c r="B4" s="41" t="n">
        <x:v>1890</x:v>
      </x:c>
      <x:c r="C4" s="41" t="n">
        <x:v>1891</x:v>
      </x:c>
      <x:c r="D4" s="41" t="str">
        <x:v>housing; sanitary</x:v>
      </x:c>
      <x:c r="E4" s="41" t="str">
        <x:v>housing: rooms | sanitary: water supply</x:v>
      </x:c>
      <x:c r="F4" s="41" t="str">
        <x:v>No</x:v>
      </x:c>
      <x:c r="G4" s="41"/>
      <x:c r="H4" s="41" t="str">
        <x:v>No</x:v>
      </x:c>
      <x:c r="I4" s="41" t="str">
        <x:v>Spitalfields</x:v>
      </x:c>
      <x:c r="J4" s="41" t="str">
        <x:v>https://wellcomelibrary.org/moh/report/b19883651</x:v>
      </x:c>
      <x:c r="K4" s="41" t="str">
        <x:v>data/moh_raw/Whitechapel_1890_b19883651_fulltext.txt</x:v>
      </x:c>
      <x:c r="L4" s="41" t="str">
        <x:v>Lift provided from ground floor into Viewing Lobby. Landing in centre of building, lighted and ventilated from above. The floors to the Post Mortem Room, Mortuaries, Catacombs, Viewing Lobby, Watcher's Room, and W.C., formed with Portland cement. The floors to Waiting Rooms, Lavatory, Coroner's Court, and W.C., formed with pitch pine wood blocks, laid herring-bone pattern. UNCERTIFIED DEATHS. Only 3 uncertified deaths occurred, viz. :�A male, aged one hour, certified by a midwife as premature birth. This was in the Goodman's Fields sub-district. In the Spitalfields sub-district two deaths were stated to be due to Bronchitis; one was a B 10 woman, aged 38, and the other a girl, aged two years. All were registered, by instruction of the Coroner, without inquests. WATER SUPPLY TO THE DISTRICT. From the published monthly returns furnished by the experts who examine regularly into the condition of the water supplied by the Companies, it appears that good water has been distributed in sufficient quantity during the year. Constant service is the mode of supply nearly throughout the District.</x:v>
      </x:c>
    </x:row>
    <x:row r="5" ht="62" customHeight="1">
      <x:c r="A5" s="41" t="str">
        <x:v>1890_0016</x:v>
      </x:c>
      <x:c r="B5" s="41" t="n">
        <x:v>1890</x:v>
      </x:c>
      <x:c r="C5" s="41" t="n">
        <x:v>1891</x:v>
      </x:c>
      <x:c r="D5" s="41" t="str">
        <x:v>housing; inequality</x:v>
      </x:c>
      <x:c r="E5" s="41" t="str">
        <x:v>housing: dwellings, houses | inequality: working classes</x:v>
      </x:c>
      <x:c r="F5" s="41" t="str">
        <x:v>Yes</x:v>
      </x:c>
      <x:c r="G5" s="41"/>
      <x:c r="H5" s="41" t="str">
        <x:v>No</x:v>
      </x:c>
      <x:c r="I5" s="41" t="str"/>
      <x:c r="J5" s="41" t="str">
        <x:v>https://wellcomelibrary.org/moh/report/b19883651</x:v>
      </x:c>
      <x:c r="K5" s="41" t="str">
        <x:v>data/moh_raw/Whitechapel_1890_b19883651_fulltext.txt</x:v>
      </x:c>
      <x:c r="L5" s="41" t="str">
        <x:v>For the whole Metropolis 9.0 per cent. of cases remained finally unaccounted for. METEOROLOGICAL RETURNS. The concluding statistical work for the year which I propose to append as usual, are the Meteorological Tables. They deserve more careful scrutiny than I am afraid they usually receive. LEGISLATION DURING THE YEAR 1890. The enactment which has priority, on account of its importance, is the "Housing of the Working Classes Act, 1890," (53 and 54 Vict., ch. 70.) This Act consolidates and amends, as also repeals "Cross's Act," "Torrens' Act," and their amendments, as well as the "Labouring Classes Dwellings Acts of 1851, 1866, and 1867," ; the "Housing of the Working Classes Act, 1885," except sections 3, 7, 9, and 10 (so far as the latter relates to bye-laws). It also repeals the "Labouring Classes Lodging Houses (England) Act of 1851," and the "Labouring Classes Lodging Houses (Ireland) Acts," and the "Dwelling Houses (Scotland) Act." It is divided into seven parts, which contain 103 sections. Certain temporary provisionsand seven schedules are also included in this Act. Part i. may, for all practical purposes, be thought of as Cross's Act.</x:v>
      </x:c>
    </x:row>
    <x:row r="6" ht="62" customHeight="1">
      <x:c r="A6" s="41" t="str">
        <x:v>1890_0017</x:v>
      </x:c>
      <x:c r="B6" s="41" t="n">
        <x:v>1890</x:v>
      </x:c>
      <x:c r="C6" s="41" t="n">
        <x:v>1891</x:v>
      </x:c>
      <x:c r="D6" s="41" t="str">
        <x:v>governance; housing</x:v>
      </x:c>
      <x:c r="E6" s="41" t="str">
        <x:v>governance: medical officer | housing: houses</x:v>
      </x:c>
      <x:c r="F6" s="41" t="str">
        <x:v>No</x:v>
      </x:c>
      <x:c r="G6" s="41"/>
      <x:c r="H6" s="41" t="str">
        <x:v>No</x:v>
      </x:c>
      <x:c r="I6" s="41" t="str"/>
      <x:c r="J6" s="41" t="str">
        <x:v>https://wellcomelibrary.org/moh/report/b19883651</x:v>
      </x:c>
      <x:c r="K6" s="41" t="str">
        <x:v>data/moh_raw/Whitechapel_1890_b19883651_fulltext.txt</x:v>
      </x:c>
      <x:c r="L6" s="41" t="str">
        <x:v>Part ii. is Torrens' Act much amended. It gives power to local authorities to prepare schemes very similiar to the arrangement in part i. An element of doubtful benefit has been the substitution of the Medical Officer for the Surveyor, as the Official upon whom is cast the chief responsibility in its execution. It appears to have been amended with a view to compel Local Authorities to execute large improvements, which hitherto had fallen to the lot of the Central Authority. The latter, 14 at its option, has power to contribute towards the cost, and herein lies the germ of future discontent and trouble, as the London County Council has not hesitated to declare its intention to share the cost only when an improvement partakes more or less of the nature of a Metropolitan improvement. An appeal to C�sar in the event of a difference of opinion is provided for, as the Home Secretary has important functions in the case of dispute. Part iii. belongs to the County Council, and is in reality " Lord Shaftesbury's Acts," which relate to Lodging Houses.</x:v>
      </x:c>
    </x:row>
    <x:row r="7" ht="62" customHeight="1">
      <x:c r="A7" s="41" t="str">
        <x:v>1890_0019</x:v>
      </x:c>
      <x:c r="B7" s="41" t="n">
        <x:v>1890</x:v>
      </x:c>
      <x:c r="C7" s="41" t="n">
        <x:v>1891</x:v>
      </x:c>
      <x:c r="D7" s="41" t="str">
        <x:v>governance; housing; sanitary</x:v>
      </x:c>
      <x:c r="E7" s="41" t="str">
        <x:v>governance: local government board | housing: rooms | sanitary: sanitary</x:v>
      </x:c>
      <x:c r="F7" s="41" t="str">
        <x:v>No</x:v>
      </x:c>
      <x:c r="G7" s="41"/>
      <x:c r="H7" s="41" t="str">
        <x:v>No</x:v>
      </x:c>
      <x:c r="I7" s="41" t="str"/>
      <x:c r="J7" s="41" t="str">
        <x:v>https://wellcomelibrary.org/moh/report/b19883651</x:v>
      </x:c>
      <x:c r="K7" s="41" t="str">
        <x:v>data/moh_raw/Whitechapel_1890_b19883651_fulltext.txt</x:v>
      </x:c>
      <x:c r="L7" s="41" t="str">
        <x:v>Its other sections have reference to the cleansing and disinfecting of premises, bedding, etc., as well as providing a penalty on persons causing rooms, where infectious diseases have appeared, to be let, without declaring what has taken place. Precautions regarding the dead, etc., and other important provisions concerning sanitary matters are contained in this act, which consists of 34 sections. 15 CUSTOMS AND INLAND REVENUE ACT, 1890. (54 Vict., ch. 8). Section 26 (2). Previous to the passing of this act, a Treasury Minute had conceded to certain owners of property that which is contained in the section I have named. It is certainly remarkable that, until it became law, nothing was known amongst Local Vestries or District Boards of this provision concerning a matter which imposes much responsibility and great labour upon Medical Officers of Health. The secftion mentioned was brought to your notice as well as to mine by a letter, dated 19th September, 1890, and signed by the secretary of the Local Government Board.</x:v>
      </x:c>
    </x:row>
    <x:row r="8" ht="62" customHeight="1">
      <x:c r="A8" s="41" t="str">
        <x:v>1890_0020</x:v>
      </x:c>
      <x:c r="B8" s="41" t="n">
        <x:v>1890</x:v>
      </x:c>
      <x:c r="C8" s="41" t="n">
        <x:v>1891</x:v>
      </x:c>
      <x:c r="D8" s="41" t="str">
        <x:v>governance; sanitary</x:v>
      </x:c>
      <x:c r="E8" s="41" t="str">
        <x:v>governance: medical officer | sanitary: sanitary</x:v>
      </x:c>
      <x:c r="F8" s="41" t="str">
        <x:v>No</x:v>
      </x:c>
      <x:c r="G8" s="41"/>
      <x:c r="H8" s="41" t="str">
        <x:v>No</x:v>
      </x:c>
      <x:c r="I8" s="41" t="str"/>
      <x:c r="J8" s="41" t="str">
        <x:v>https://wellcomelibrary.org/moh/report/b19883651</x:v>
      </x:c>
      <x:c r="K8" s="41" t="str">
        <x:v>data/moh_raw/Whitechapel_1890_b19883651_fulltext.txt</x:v>
      </x:c>
      <x:c r="L8" s="41" t="str">
        <x:v>The certificate is to be obtained from the "Medical Officer for Health for the district in which the house is "situate or from some other medical practioner appointed as "hereinafter mentioned. "The Act makes it the duty of the Medical Officer of Health "of a district, on request by the. person who would be liable to "pay the house duty on any house in the district, if the duty were "not discharged by the Commissioners, to examine the house for "the purpose of ascertaining whether a certificate can properly be "given; and if the house is constructed so as to afford suitable "accommodation for each of the families or persons inhabiting it, "and due provision is made for their sanitary requirements, he "must certify the same accordingly. "The Act however, provides that where the authority by 16 "whom the Medical Officer of Health is appointed are of opinion "that the duties which would thus devolve on him could not be "performed by him without interference with the due performance "of</x:v>
      </x:c>
    </x:row>
    <x:row r="9" ht="62" customHeight="1">
      <x:c r="A9" s="41" t="str">
        <x:v>1890_0022</x:v>
      </x:c>
      <x:c r="B9" s="41" t="n">
        <x:v>1890</x:v>
      </x:c>
      <x:c r="C9" s="41" t="n">
        <x:v>1891</x:v>
      </x:c>
      <x:c r="D9" s="41" t="str">
        <x:v>governance; housing; inequality; sanitary</x:v>
      </x:c>
      <x:c r="E9" s="41" t="str">
        <x:v>governance: inspection | housing: houses | inequality: working classes | sanitary: nuisances, sanitary</x:v>
      </x:c>
      <x:c r="F9" s="41" t="str">
        <x:v>Yes</x:v>
      </x:c>
      <x:c r="G9" s="41"/>
      <x:c r="H9" s="41" t="str">
        <x:v>Yes</x:v>
      </x:c>
      <x:c r="I9" s="41" t="str"/>
      <x:c r="J9" s="41" t="str">
        <x:v>https://wellcomelibrary.org/moh/report/b19883651</x:v>
      </x:c>
      <x:c r="K9" s="41" t="str">
        <x:v>data/moh_raw/Whitechapel_1890_b19883651_fulltext.txt</x:v>
      </x:c>
      <x:c r="L9" s="41" t="str">
        <x:v>I may add that, in some instances, I have had to call upon the owners of some houses to remedy grave sanitary defects, which, but for the special inspection, might have escaped observation for some time. It may be useful to quote the result of the deliberations of Metropolitan Officers of Health, concerning a reference to them by the Conference of Metropolitan Members of Vestries and District Boards, which took place on the 5th December last, in the County Hall, Spring Gardens. The reference demanded some common understanding concerning the meaning of the words contained in Part ii. of the "Housing of the Working Classes Act, 1890," which runs as follows :�"A condition so dangerous "or injurious to health, as to be unfit for human habitation." REPORT. "Whether a house is dangerous to health mainly depends "upon� (a) Site and surroundings. (b) Construction. (c) Age and general want of repair. (d) Nuisances.</x:v>
      </x:c>
    </x:row>
    <x:row r="10" ht="62" customHeight="1">
      <x:c r="A10" s="41" t="str">
        <x:v>1890_0023</x:v>
      </x:c>
      <x:c r="B10" s="41" t="n">
        <x:v>1890</x:v>
      </x:c>
      <x:c r="C10" s="41" t="n">
        <x:v>1891</x:v>
      </x:c>
      <x:c r="D10" s="41" t="str">
        <x:v>inequality; sanitary</x:v>
      </x:c>
      <x:c r="E10" s="41" t="str">
        <x:v>inequality: working classes | sanitary: drainage, nuisance</x:v>
      </x:c>
      <x:c r="F10" s="41" t="str">
        <x:v>Yes</x:v>
      </x:c>
      <x:c r="G10" s="41"/>
      <x:c r="H10" s="41" t="str">
        <x:v>No</x:v>
      </x:c>
      <x:c r="I10" s="41" t="str"/>
      <x:c r="J10" s="41" t="str">
        <x:v>https://wellcomelibrary.org/moh/report/b19883651</x:v>
      </x:c>
      <x:c r="K10" s="41" t="str">
        <x:v>data/moh_raw/Whitechapel_1890_b19883651_fulltext.txt</x:v>
      </x:c>
      <x:c r="L10" s="41" t="str">
        <x:v>17 (a) Site. "A dwelling-house built in a hollow, or in a situation not "admitting effectual drainage, or exposed to malarial influences, "or built in a manner, or on soil which causes or admits the air "to be contaminated by injurious gasses, might be properly "represented under section 30 of the ' Housing of the Working "Classes Act, 1890.' "The fact that a dwelling-house is built on a site so sur"rounded by buildings that access of sufficient light and air is "impossible, would, in our opinion, be a good ground for repre"sentation. (b) Construction. "Under this head would be classed original defect of plan; "for example, a dwelling house improperly ventilated or lighted, "or with the closet and dust-bin so situated as to cause nuisance " within the house. "Any condition which results in permanent dampness.</x:v>
      </x:c>
    </x:row>
    <x:row r="11" ht="62" customHeight="1">
      <x:c r="A11" s="41" t="str">
        <x:v>1890_0024</x:v>
      </x:c>
      <x:c r="B11" s="41" t="n">
        <x:v>1890</x:v>
      </x:c>
      <x:c r="C11" s="41" t="n">
        <x:v>1891</x:v>
      </x:c>
      <x:c r="D11" s="41" t="str">
        <x:v>housing; inequality; sanitary</x:v>
      </x:c>
      <x:c r="E11" s="41" t="str">
        <x:v>housing: dwellings, houses, rooms | inequality: poor, working classes | sanitary: drainage, filth, nuisances, sanitary</x:v>
      </x:c>
      <x:c r="F11" s="41" t="str">
        <x:v>Yes</x:v>
      </x:c>
      <x:c r="G11" s="41"/>
      <x:c r="H11" s="41" t="str">
        <x:v>Yes</x:v>
      </x:c>
      <x:c r="I11" s="41" t="str"/>
      <x:c r="J11" s="41" t="str">
        <x:v>https://wellcomelibrary.org/moh/report/b19883651</x:v>
      </x:c>
      <x:c r="K11" s="41" t="str">
        <x:v>data/moh_raw/Whitechapel_1890_b19883651_fulltext.txt</x:v>
      </x:c>
      <x:c r="L11" s="41" t="str">
        <x:v>Such "faulty construction of chimney-flues as permits products of com"bustion from adjoining premises to permanently contaminate "the air of living-rooms. (c) Age and General Want of Repair. "This, when it reaches a degree of dilapidation, is obviously "a just cause for representation. (d) Nuisances. "Bad drainage, faulty closets, filth per se, &amp;c., are, in our "opinion, grounds for action taken under the ' Nuisances Re"moval and Sanitary Acts,' but where affecting a whole dwelling"house, or where combined with faults of site and construction, "and general want of repair, they justify action also under the "'Housing of the Working Classes Act.' "In all the above cases the question of 'degree' comes in; "it is, indeed, this question of degree that renders precise defini"tion impossible ; general principles can alone be laid down." 18 This is obviously true, but in any case it is satisfactory to know that magistrates are determined to assist Local Authorities to improve the dwellings of the poor. The above list of mal-conditions, applicable to dwelling-houses, is no new invention of Sanitary Experts, and daily experience constantly advises that greater efforts should be forthcoming to put into practice the knowledge which this experience brings.</x:v>
      </x:c>
    </x:row>
    <x:row r="12" ht="62" customHeight="1">
      <x:c r="A12" s="41" t="str">
        <x:v>1890_0025</x:v>
      </x:c>
      <x:c r="B12" s="41" t="n">
        <x:v>1890</x:v>
      </x:c>
      <x:c r="C12" s="41" t="n">
        <x:v>1891</x:v>
      </x:c>
      <x:c r="D12" s="41" t="str">
        <x:v>disease; governance; housing; sanitary</x:v>
      </x:c>
      <x:c r="E12" s="41" t="str">
        <x:v>disease: diarrhoea | governance: board | housing: dwellings, houses | sanitary: sanitary</x:v>
      </x:c>
      <x:c r="F12" s="41" t="str">
        <x:v>No</x:v>
      </x:c>
      <x:c r="G12" s="41"/>
      <x:c r="H12" s="41" t="str">
        <x:v>No</x:v>
      </x:c>
      <x:c r="I12" s="41" t="str"/>
      <x:c r="J12" s="41" t="str">
        <x:v>https://wellcomelibrary.org/moh/report/b19883651</x:v>
      </x:c>
      <x:c r="K12" s="41" t="str">
        <x:v>data/moh_raw/Whitechapel_1890_b19883651_fulltext.txt</x:v>
      </x:c>
      <x:c r="L12" s="41" t="str">
        <x:v>Dr. Anders, as a result of special investigations in Philadelphia, shows how much influence the width of streets exerts upon the tendency to Phthisis in the inhabitants. In other words, complete movement of air about dwellings is a point of the utmost importance. Dr. Cameron, in his Report to the Town Council of Leeds, proves that back-to-back houses increase the risk of those living in them from death by Diarrhoea; thus 81 per cent. of the deaths within his town, took place in houses which had no through draughts, against 19 per cent. in houses with thorough ventilation. You will therefore be prepared after these remarks to hear that I propose shortly to call your attention to some of those houses in your District which fall short of the requirements which are necessary to constitute a healthy home. I have the honour to be, Gentlemen, Your obedient Servant, JOSEPH LOANE. 19 Board of Works, Whitechapel District, Sanitary Department. Sir, In connection with the year's work, which has been tabulated in the usual way, we have to report upon the Extra Important Works (the results of which are included in the tabulated work mentioned), which have been carried out under our supervision during the past year.</x:v>
      </x:c>
    </x:row>
    <x:row r="13" ht="62" customHeight="1">
      <x:c r="A13" s="41" t="str">
        <x:v>1890_0028</x:v>
      </x:c>
      <x:c r="B13" s="41" t="n">
        <x:v>1890</x:v>
      </x:c>
      <x:c r="C13" s="41" t="n">
        <x:v>1891</x:v>
      </x:c>
      <x:c r="D13" s="41" t="str">
        <x:v>governance; housing; sanitary</x:v>
      </x:c>
      <x:c r="E13" s="41" t="str">
        <x:v>governance: inspection | housing: houses, rooms | sanitary: drain</x:v>
      </x:c>
      <x:c r="F13" s="41" t="str">
        <x:v>No</x:v>
      </x:c>
      <x:c r="G13" s="41"/>
      <x:c r="H13" s="41" t="str">
        <x:v>No</x:v>
      </x:c>
      <x:c r="I13" s="41" t="str"/>
      <x:c r="J13" s="41" t="str">
        <x:v>https://wellcomelibrary.org/moh/report/b19883651</x:v>
      </x:c>
      <x:c r="K13" s="41" t="str">
        <x:v>data/moh_raw/Whitechapel_1890_b19883651_fulltext.txt</x:v>
      </x:c>
      <x:c r="L13" s="41" t="str">
        <x:v>Cottage pans and traps have been used throughout, and have been set in bricks and cement, with new seats to closets, with 4� inch risers only; the floors of closets have been concreted and cemented throughout. New sinks have been provided where necessary, and in all cases wastes from sinks have been disconnected from drain and made to discharge over earthenware syphon gullies. The drain is now efficiently ventilated, and is provided with a fresh-air inlet, and also an inspection chamber, fitted with one of Crapper's "Kenon" intercepting traps (made from design of Dr. Corfield). These houses being back-to-back erections, special provisions had to be made for ventilation, and which was effected by taking off small portions of the rooms and staircases, and making a shaft in each house of several feet square from top of house to bottom, fitted with windows looking into every room and on to every landing, such windows being made to open and shut, as well as the glass in top panes being so put in as to leave an inch opening at top.</x:v>
      </x:c>
    </x:row>
    <x:row r="14" ht="62" customHeight="1">
      <x:c r="A14" s="41" t="str">
        <x:v>1890_0029</x:v>
      </x:c>
      <x:c r="B14" s="41" t="n">
        <x:v>1890</x:v>
      </x:c>
      <x:c r="C14" s="41" t="n">
        <x:v>1891</x:v>
      </x:c>
      <x:c r="D14" s="41" t="str">
        <x:v>governance; sanitary</x:v>
      </x:c>
      <x:c r="E14" s="41" t="str">
        <x:v>governance: inspection | sanitary: drain</x:v>
      </x:c>
      <x:c r="F14" s="41" t="str">
        <x:v>No</x:v>
      </x:c>
      <x:c r="G14" s="41"/>
      <x:c r="H14" s="41" t="str">
        <x:v>No</x:v>
      </x:c>
      <x:c r="I14" s="41" t="str"/>
      <x:c r="J14" s="41" t="str">
        <x:v>https://wellcomelibrary.org/moh/report/b19883651</x:v>
      </x:c>
      <x:c r="K14" s="41" t="str">
        <x:v>data/moh_raw/Whitechapel_1890_b19883651_fulltext.txt</x:v>
      </x:c>
      <x:c r="L14" s="41" t="str">
        <x:v>Each shaft was fitted with skylight and fixed louvres. By these means, additional light and ventilation was obtained. The property belonged to one owner, and the cost of the works carried out was over �1000. 21 Nos. 41 &amp; 42, Great Alie St., Norwich Court, 7, Artillery Passage, 12, Spital Square. Cesspools were found at each of these premises, and it will be interesting to give a few particulars relating to each, taking them in the order given. 1st. �For some considerable time filthy matter had been percolating into basement of Jewish Working Men's Club, in Great Alie Street, from the adjoining premises, and it was not until every effort had failed to find out the cause, that a complaint was lodged at this office. Upon visiting No. 42, Great Alie Street, the drain was found stripped for inspection, and there seemed nothing apparently wrong with it. The drain of No. 41, which adjoins, was ordered to be opened up and was found to be very defective, and the soil beneath very much saturated. Orders were given for all wet and filthy soil to be removed, and after going down about two feet the top of a large cesspool was discovered; this was ordered to be immediately cleared out, and was subsequently filled in with dry rubbish.</x:v>
      </x:c>
    </x:row>
    <x:row r="15" ht="62" customHeight="1">
      <x:c r="A15" s="41" t="str">
        <x:v>1890_0030</x:v>
      </x:c>
      <x:c r="B15" s="41" t="n">
        <x:v>1890</x:v>
      </x:c>
      <x:c r="C15" s="41" t="n">
        <x:v>1891</x:v>
      </x:c>
      <x:c r="D15" s="41" t="str">
        <x:v>sanitary</x:v>
      </x:c>
      <x:c r="E15" s="41" t="str">
        <x:v>sanitary: drain, drainage, drains, sewer</x:v>
      </x:c>
      <x:c r="F15" s="41" t="str">
        <x:v>No</x:v>
      </x:c>
      <x:c r="G15" s="41"/>
      <x:c r="H15" s="41" t="str">
        <x:v>No</x:v>
      </x:c>
      <x:c r="I15" s="41" t="str"/>
      <x:c r="J15" s="41" t="str">
        <x:v>https://wellcomelibrary.org/moh/report/b19883651</x:v>
      </x:c>
      <x:c r="K15" s="41" t="str">
        <x:v>data/moh_raw/Whitechapel_1890_b19883651_fulltext.txt</x:v>
      </x:c>
      <x:c r="L15" s="41" t="str">
        <x:v>The cesspool was circular in shape, 9 feet in diameter and 9 feet deep, and there were 3 disused brick barrel drains running into it. The party-wall dividing yards of Nos. 41 and 42, Great Alie Street, and the closets of each house were built over this cesspool, which had no other cover except the 2 feet of earth mentioned. There is now no percolation into the Club premises whatever. 2nd.�A circular cesspool, about 7 feet by 2 feet 6 inches diameter, was found in Norwich Court, through the brick barrel drain being opened up to find out cause of a stoppage. This cesspool had an overflow into a deep shoot, and all drainage passed down same and into and through the drain of No. 18, Upper East Smithfield. Nos. 16 and 17, Upper East Smithfield were connected into the brick barrel drain in Norwich Court. The cesspool was cleared out and filled in with dry rubbish and concrete. The discovery of this cesspool led to the re-construction of drains of Nos 16, 17 and 18, Upper East Smithfield, and to the construction of a pipe sewer in Norwich Court, the latter work being carried out by the Surveyor, Mr.</x:v>
      </x:c>
    </x:row>
    <x:row r="16" ht="62" customHeight="1">
      <x:c r="A16" s="41" t="str">
        <x:v>1890_0032</x:v>
      </x:c>
      <x:c r="B16" s="41" t="n">
        <x:v>1890</x:v>
      </x:c>
      <x:c r="C16" s="41" t="n">
        <x:v>1891</x:v>
      </x:c>
      <x:c r="D16" s="41" t="str">
        <x:v>disease; governance; housing; sanitary</x:v>
      </x:c>
      <x:c r="E16" s="41" t="str">
        <x:v>disease: notification | governance: inspection | housing: houses | sanitary: drains, sanitary</x:v>
      </x:c>
      <x:c r="F16" s="41" t="str">
        <x:v>No</x:v>
      </x:c>
      <x:c r="G16" s="41"/>
      <x:c r="H16" s="41" t="str">
        <x:v>No</x:v>
      </x:c>
      <x:c r="I16" s="41" t="str">
        <x:v>Mile End New Town; Whitechapel Road; Hanbury Street</x:v>
      </x:c>
      <x:c r="J16" s="41" t="str">
        <x:v>https://wellcomelibrary.org/moh/report/b19883651</x:v>
      </x:c>
      <x:c r="K16" s="41" t="str">
        <x:v>data/moh_raw/Whitechapel_1890_b19883651_fulltext.txt</x:v>
      </x:c>
      <x:c r="L16" s="41" t="str">
        <x:v>The whole of the drains have been ventilated. In all but one instance fresh air inlets have been provided. Syphon intercepting traps have been provided in every case, and inspection manholes have been constructed in every case where necessary. Estimated cost of the whole of above works is �425. In conclusion, we may state that the carrying out of the "Infectious Diseases Notification Act," has involved a very considerable amount of extra work during the past year, as will be seen from the figures relating to disinfecting in the tabulated work before mentioned. We are, Sir, Your obedient Servants, RICHARD SKIDMORE WRACK, Sanitary Inspectors. THOS. P. WRACK. 23 APPENDIX. SLAUGHTER-HOUSES. WHITECHAPEL. Address. To whom Licensed. 269. Whitechapel Road Alfred Garton 3, High Street Benjamin James Wood. 6, � � Solomon Horwitz and Joseph Lialter 27, � � Thomas Kefford. 4, � � Charles Henry Knight. 2, � � Robert Lankester. 52, � � Joseph Nathan. 52, Cable Street Mary Pettitt. MILE END NEW TOWN. 147, Hanbury Street John Arthur Garton. COW-HOUSES. WHITECHAPEL. Address. To whom Licensed. 11, Black Lion Yard (both sides) John Davis 6, Whites Row Evan Edwards. 7, Finch Street William James.</x:v>
      </x:c>
    </x:row>
    <x:row r="17" ht="62" customHeight="1">
      <x:c r="A17" s="41" t="str">
        <x:v>1891_0012</x:v>
      </x:c>
      <x:c r="B17" s="41" t="n">
        <x:v>1891</x:v>
      </x:c>
      <x:c r="C17" s="41" t="n">
        <x:v>1892</x:v>
      </x:c>
      <x:c r="D17" s="41" t="str">
        <x:v>governance; sanitary</x:v>
      </x:c>
      <x:c r="E17" s="41" t="str">
        <x:v>governance: board | sanitary: water supply</x:v>
      </x:c>
      <x:c r="F17" s="41" t="str">
        <x:v>No</x:v>
      </x:c>
      <x:c r="G17" s="41"/>
      <x:c r="H17" s="41" t="str">
        <x:v>No</x:v>
      </x:c>
      <x:c r="I17" s="41" t="str">
        <x:v>Mile End New Town</x:v>
      </x:c>
      <x:c r="J17" s="41" t="str">
        <x:v>https://wellcomelibrary.org/moh/report/b19883663</x:v>
      </x:c>
      <x:c r="K17" s="41" t="str">
        <x:v>data/moh_raw/Whitechapel_1891_b19883663_fulltext.txt</x:v>
      </x:c>
      <x:c r="L17" s="41" t="str">
        <x:v>Male a few hours old ,, 12 hours old In the Mile End New Town Sub-District Male, 1 hour old. These were all certified by Midwives as cases of premature birth. No inquest was held in any case. During the year the Coroners inquired into the cause of death Inquests in 354 cases. Only 183 of investigations had reference to Whitechapel District-residents. I am happy to be able to report the completion of the Public Mortuary. It remains only for details of administration to be arranged, and for regulations to be agreed to, before the building can be opened to supply the necessity which your Board has been until now unable to afford by reason of the difficulty in obtaining a suitable site. In my last year's Report, your Surveyor gave a description of the accommodation to be allowed, and I am now of opinion that much benefit will result to the District from the new Mortuary when it becomes generally known that so useful and excellent a building is available. I have nothing to add to the Reports which I have given annually in the past upon water supply.</x:v>
      </x:c>
    </x:row>
    <x:row r="18" ht="62" customHeight="1">
      <x:c r="A18" s="41" t="str">
        <x:v>1891_0014</x:v>
      </x:c>
      <x:c r="B18" s="41" t="n">
        <x:v>1891</x:v>
      </x:c>
      <x:c r="C18" s="41" t="n">
        <x:v>1892</x:v>
      </x:c>
      <x:c r="D18" s="41" t="str">
        <x:v>inequality</x:v>
      </x:c>
      <x:c r="E18" s="41" t="str">
        <x:v>inequality: infirmary, lodgers, lodging-houses</x:v>
      </x:c>
      <x:c r="F18" s="41" t="str">
        <x:v>Yes</x:v>
      </x:c>
      <x:c r="G18" s="41"/>
      <x:c r="H18" s="41" t="str">
        <x:v>Yes</x:v>
      </x:c>
      <x:c r="I18" s="41" t="str"/>
      <x:c r="J18" s="41" t="str">
        <x:v>https://wellcomelibrary.org/moh/report/b19883663</x:v>
      </x:c>
      <x:c r="K18" s="41" t="str">
        <x:v>data/moh_raw/Whitechapel_1891_b19883663_fulltext.txt</x:v>
      </x:c>
      <x:c r="L18" s="41" t="str">
        <x:v>Whilst on this subject, it may not altogether be out of place if I allude to certain institutions which have latelj- appeared in the District; they are founded for philanthropic purposes, and they escape police supervision because they avoid registration under the Common Lodging-houses Acts. These so-called 'shelters' are open apparently to all comers, and the friends of the 'Associations' endeavour with great vigour to supply them with lodgers collected from all parts of the Metropolis and elsewhere. It might have been hoped that the principals of the ' shelters ' would draft their visitors into useful employment in London, the Country, or even in the Colonies�but a few particulars which I have been at the trouble to collect do not support the theory that such is the intention of the promoters of these refuges. At any rate, the result has not been in that direction. I find that the District Medical Officers have, during the year 15 1891, given admission orders into the Whitechapel Infirmary to lodgers from the following institutions:� Shelter.</x:v>
      </x:c>
    </x:row>
    <x:row r="19" ht="62" customHeight="1">
      <x:c r="A19" s="41" t="str">
        <x:v>1891_0018</x:v>
      </x:c>
      <x:c r="B19" s="41" t="n">
        <x:v>1891</x:v>
      </x:c>
      <x:c r="C19" s="41" t="n">
        <x:v>1892</x:v>
      </x:c>
      <x:c r="D19" s="41" t="str">
        <x:v>governance; housing</x:v>
      </x:c>
      <x:c r="E19" s="41" t="str">
        <x:v>governance: board | housing: houses</x:v>
      </x:c>
      <x:c r="F19" s="41" t="str">
        <x:v>No</x:v>
      </x:c>
      <x:c r="G19" s="41"/>
      <x:c r="H19" s="41" t="str">
        <x:v>No</x:v>
      </x:c>
      <x:c r="I19" s="41" t="str"/>
      <x:c r="J19" s="41" t="str">
        <x:v>https://wellcomelibrary.org/moh/report/b19883663</x:v>
      </x:c>
      <x:c r="K19" s="41" t="str">
        <x:v>data/moh_raw/Whitechapel_1891_b19883663_fulltext.txt</x:v>
      </x:c>
      <x:c r="L19" s="41" t="str">
        <x:v>The letter was a reply to a request for information in the form of a report concerning certain representations which the Council is empowered to ask for:� " So that the Council may now have full information upon the " works carried out by the Whitechapel District Board under the " Act mentioned, I have appended a complete record up to date. " By such returns it will be seen that in two cases only have '' Courts of Law been invoked to aid the Board in carrying on "this part of its work. It is further to be noticed that the returns " indicate that through the action of the Board of Works for the " Whitechapel District, 46 houses have been closed and pulled "down; 16 are undergoing process of demolition; 53 have been " closed by consent of the owners, and 8 by Magistrates' orders; " 19 have been repaired and cleansed, and are re-occupied : and 28 " are now, under contract, being extensively repaired. Thus in " less than 10 months, 170 houses have been dealt with by the " Board." From a careful study of the New Public Health (London) Act, 1891, I am not sure, but in some cases, the modes of procedure introduced as well as the ultimate results to be derived from its operations, will prove it to be better than the Act of 1890.</x:v>
      </x:c>
    </x:row>
    <x:row r="20" ht="62" customHeight="1">
      <x:c r="A20" s="41" t="str">
        <x:v>1891_0019</x:v>
      </x:c>
      <x:c r="B20" s="41" t="n">
        <x:v>1891</x:v>
      </x:c>
      <x:c r="C20" s="41" t="n">
        <x:v>1892</x:v>
      </x:c>
      <x:c r="D20" s="41" t="str">
        <x:v>housing; sanitary</x:v>
      </x:c>
      <x:c r="E20" s="41" t="str">
        <x:v>housing: overcrowding | sanitary: nuisance, nuisances, sanitary</x:v>
      </x:c>
      <x:c r="F20" s="41" t="str">
        <x:v>No</x:v>
      </x:c>
      <x:c r="G20" s="41"/>
      <x:c r="H20" s="41" t="str">
        <x:v>No</x:v>
      </x:c>
      <x:c r="I20" s="41" t="str"/>
      <x:c r="J20" s="41" t="str">
        <x:v>https://wellcomelibrary.org/moh/report/b19883663</x:v>
      </x:c>
      <x:c r="K20" s="41" t="str">
        <x:v>data/moh_raw/Whitechapel_1891_b19883663_fulltext.txt</x:v>
      </x:c>
      <x:c r="L20" s="41" t="str">
        <x:v>18 With the year 1891 terminate some Acts of Parliament with which Local Boards and their Officers have Publ ic Health been for many years familiar. Such Acts as (London) "The Nuisances Removal Act, 1855" and its Act, 1891. Amendment Acts ; the various Sanitary Acts; the Diseases Prevention Act (Metropolis). &amp;c.; have done good service in the past, and as they are all incorporated and amended in the new Act which becomes operative on the 1st day of January, 1892, a distinct gain will be generally felt by those who have to rely upon legal measures to obtain sanitary improvements. It will of course be obvious that some difficulties may present themselves at first on account of the altered law, and I have thought therefore that it would be of service to briefly draw attention to the chief changes that have taken place. In Sec. 2, there has been added "or dangerous to health" to the former words " a nuisance, or injurious," and some additions have been made to the list of nuisances. It is also provided that overcrowding renders a house unfit " whether the inmates are, or are not, members of the same family." The absence of certain water fittings are deemed to cause a nuisance, and this sedtion concludes by giving discretionary powers to a magistrate as regards overcrowding under certain circumstances.</x:v>
      </x:c>
    </x:row>
    <x:row r="21" ht="62" customHeight="1">
      <x:c r="A21" s="41" t="str">
        <x:v>1891_0020</x:v>
      </x:c>
      <x:c r="B21" s="41" t="n">
        <x:v>1891</x:v>
      </x:c>
      <x:c r="C21" s="41" t="n">
        <x:v>1892</x:v>
      </x:c>
      <x:c r="D21" s="41" t="str">
        <x:v>governance; housing; sanitary</x:v>
      </x:c>
      <x:c r="E21" s="41" t="str">
        <x:v>governance: sanitary authority | housing: overcrowding | sanitary: nuisance, nuisances</x:v>
      </x:c>
      <x:c r="F21" s="41" t="str">
        <x:v>No</x:v>
      </x:c>
      <x:c r="G21" s="41"/>
      <x:c r="H21" s="41" t="str">
        <x:v>No</x:v>
      </x:c>
      <x:c r="I21" s="41" t="str"/>
      <x:c r="J21" s="41" t="str">
        <x:v>https://wellcomelibrary.org/moh/report/b19883663</x:v>
      </x:c>
      <x:c r="K21" s="41" t="str">
        <x:v>data/moh_raw/Whitechapel_1891_b19883663_fulltext.txt</x:v>
      </x:c>
      <x:c r="L21" s="41" t="str">
        <x:v>Sec. 3 renders it competent "for any person" to give notice to the Sanitary Authority of the existence of a nuisance. Every officer of a Sanitary Authority, as well as "every Relieving Officer," must also give information in accordance with regulations which each body is called upon to make; such Authority will also give directions that the existence of a nuisance shall be immediately brought to the notice of any person who may be required to abate it, and the officer shall do so by serving a written information. Sec 4 provides that in serving notice upon a person requiring the abatement of a nuisance, the Sanitary Authority may or not, at its discretion, specify the works to be executed. The offender may also be required to prevent the recurrence of the nuisance complained of, even though it may for the time have been abated. Where overcrowding exists, increased power is given by the addition of the words " or part of a house.". 19 Hitherto no adequate penalty was forthcoming even in cases of gross negletft by house owners. "A fine not exceeding ten pounds," now introduced, may cause a little more energy to be called forth when nuisances require abatement.</x:v>
      </x:c>
    </x:row>
    <x:row r="22" ht="62" customHeight="1">
      <x:c r="A22" s="41" t="str">
        <x:v>1891_0021</x:v>
      </x:c>
      <x:c r="B22" s="41" t="n">
        <x:v>1891</x:v>
      </x:c>
      <x:c r="C22" s="41" t="n">
        <x:v>1892</x:v>
      </x:c>
      <x:c r="D22" s="41" t="str">
        <x:v>governance; housing; sanitary</x:v>
      </x:c>
      <x:c r="E22" s="41" t="str">
        <x:v>governance: sanitary authority | housing: overcrowding | sanitary: nuisance</x:v>
      </x:c>
      <x:c r="F22" s="41" t="str">
        <x:v>No</x:v>
      </x:c>
      <x:c r="G22" s="41"/>
      <x:c r="H22" s="41" t="str">
        <x:v>No</x:v>
      </x:c>
      <x:c r="I22" s="41" t="str"/>
      <x:c r="J22" s="41" t="str">
        <x:v>https://wellcomelibrary.org/moh/report/b19883663</x:v>
      </x:c>
      <x:c r="K22" s="41" t="str">
        <x:v>data/moh_raw/Whitechapel_1891_b19883663_fulltext.txt</x:v>
      </x:c>
      <x:c r="L22" s="41" t="str">
        <x:v>Sec. 5 enacts that where such notice from the Sanitary Authority is disregarded, a magistrate may make an order, which at his discretion, may specify what works shall be executed. A closing order may also be made, and a fine of" not exceeding twenty pounds," may be inflicted. Sec. 6 provides for certain arrangements, should an appeal from the Magistrate's Order be made to a Court of Quarter Sessions against a prohibition or closing Order, or against an Order for the execution of structural works. In such an event, the Court has power to order that the works shall be executed by the Sanitary Authority, who may recover the costs in a summary manner. Sec. 7 enacts that a Petty Sessional Court, in the case of two convictions for overcrowding within a period of three months, may order the house to be closed for such period as the Court may deem necessary. This Order may be issued whether the persons convicted were or were not the same. Sec. g, in giving authority for the sale of things removed in carrying out works to abate a nuisance by the Sanitary Authority, includes the words " or doing what is necessary to prevent the recurrence of" the nuisance.</x:v>
      </x:c>
    </x:row>
    <x:row r="23" ht="62" customHeight="1">
      <x:c r="A23" s="41" t="str">
        <x:v>1891_0022</x:v>
      </x:c>
      <x:c r="B23" s="41" t="n">
        <x:v>1891</x:v>
      </x:c>
      <x:c r="C23" s="41" t="n">
        <x:v>1892</x:v>
      </x:c>
      <x:c r="D23" s="41" t="str">
        <x:v>governance; sanitary</x:v>
      </x:c>
      <x:c r="E23" s="41" t="str">
        <x:v>governance: sanitary authority | sanitary: drain, nuisance, nuisances</x:v>
      </x:c>
      <x:c r="F23" s="41" t="str">
        <x:v>No</x:v>
      </x:c>
      <x:c r="G23" s="41"/>
      <x:c r="H23" s="41" t="str">
        <x:v>No</x:v>
      </x:c>
      <x:c r="I23" s="41" t="str"/>
      <x:c r="J23" s="41" t="str">
        <x:v>https://wellcomelibrary.org/moh/report/b19883663</x:v>
      </x:c>
      <x:c r="K23" s="41" t="str">
        <x:v>data/moh_raw/Whitechapel_1891_b19883663_fulltext.txt</x:v>
      </x:c>
      <x:c r="L23" s="41" t="str">
        <x:v>Sec.11 does not provide that when expenses are sought to be recovered by the Sanitary Authority for abating a nuisance, it shall be necessary to prove that the house was unfit for human habitation. It is further said, " and in case of nuisances caused by the act or default of the owner of premises, such costs and expenses may be recovered from any person who is for the time being owner of such premises." It is also competent for the costs, expenses and fines to be recovered in the High Court, or in a summary manner, or in the County Court. Sec. 15 reads: "If a person causes any drain, water-closet, "earth-closet, privy, or ash-pit, to be a nuisance, or injurious, or " dangerous to health, by wilfully destroying or damaging the " same, or any water-supply, apparatus, pipe, or work connected " therewith, or by otherwise wilfully stopping up, or wilfully c2 20 "interfering with, or improperly using the same, or any such " water-supply, apparatus, pipe, or work, he shall be liable to " a fine not exceeding five pounds." Sec.</x:v>
      </x:c>
    </x:row>
    <x:row r="24" ht="62" customHeight="1">
      <x:c r="A24" s="41" t="str">
        <x:v>1891_0023</x:v>
      </x:c>
      <x:c r="B24" s="41" t="n">
        <x:v>1891</x:v>
      </x:c>
      <x:c r="C24" s="41" t="n">
        <x:v>1892</x:v>
      </x:c>
      <x:c r="D24" s="41" t="str">
        <x:v>governance; sanitary</x:v>
      </x:c>
      <x:c r="E24" s="41" t="str">
        <x:v>governance: sanitary authority | sanitary: nuisances, refuse</x:v>
      </x:c>
      <x:c r="F24" s="41" t="str">
        <x:v>No</x:v>
      </x:c>
      <x:c r="G24" s="41"/>
      <x:c r="H24" s="41" t="str">
        <x:v>No</x:v>
      </x:c>
      <x:c r="I24" s="41" t="str"/>
      <x:c r="J24" s="41" t="str">
        <x:v>https://wellcomelibrary.org/moh/report/b19883663</x:v>
      </x:c>
      <x:c r="K24" s="41" t="str">
        <x:v>data/moh_raw/Whitechapel_1891_b19883663_fulltext.txt</x:v>
      </x:c>
      <x:c r="L24" s="41" t="str">
        <x:v>16 calls upon every Sanitary Authority to make bye-laws for certain purposes, including the prevention of nuisances arising from snow, ice, salt, dust, ashes, &amp;c., &amp;c., or other matter or thing in any street. This section is founded upon Michael Angelo Taylor's Act, as well as the Metropolitan Police Act, and the Metropolis Management A(ft. I find that the only Whitechapel street named in the Police Act, wherein refuse must not be collected between 10 a m. and 7 p.m., is Whitechapel High Street, up to Church Lane. A penalty not exceeding forty shillings is incurred by infringing this clause. Sec. 18 states: "Where it is proved to the satisfaction of a "Petty Sessional Court that any locality, premises, or place, are " or is, unfit for the keeping of any animal, the Court may by " summary order prohibit the using thereof for that purpose for the " future." Sec.</x:v>
      </x:c>
    </x:row>
    <x:row r="25" ht="62" customHeight="1">
      <x:c r="A25" s="41" t="str">
        <x:v>1891_0024</x:v>
      </x:c>
      <x:c r="B25" s="41" t="n">
        <x:v>1891</x:v>
      </x:c>
      <x:c r="C25" s="41" t="n">
        <x:v>1892</x:v>
      </x:c>
      <x:c r="D25" s="41" t="str">
        <x:v>sanitary</x:v>
      </x:c>
      <x:c r="E25" s="41" t="str">
        <x:v>sanitary: refuse</x:v>
      </x:c>
      <x:c r="F25" s="41" t="str">
        <x:v>No</x:v>
      </x:c>
      <x:c r="G25" s="41"/>
      <x:c r="H25" s="41" t="str">
        <x:v>No</x:v>
      </x:c>
      <x:c r="I25" s="41" t="str"/>
      <x:c r="J25" s="41" t="str">
        <x:v>https://wellcomelibrary.org/moh/report/b19883663</x:v>
      </x:c>
      <x:c r="K25" s="41" t="str">
        <x:v>data/moh_raw/Whitechapel_1891_b19883663_fulltext.txt</x:v>
      </x:c>
      <x:c r="L25" s="41" t="str">
        <x:v>19 deals with offensive trades, with the addition of the words " or horses "after" slaughterer of cattle." Sub-Section 2 has a saving clause as regards the business of soap-boiler: " Provided that this enactment shall not render any person liable " to a fine for establishing anew with the sandlion of the County "Council, or carrying on, the business of soap-boiler, if and as " long as that business is a business in which tallow or any animal "fat or oil, other than olein, is not used by admixture with alkali " for the production of soap." The County Council are to give their sanction, after giving notice in the usual way, " and by " causing a copy of the notice to be affixed in a conspicuous " part of the said premises," so that objections may be heard and considered. Sec. 20, which deals with the licensing of cowhouses and slaughterhouses, is enlarged so as to include a "slaughterer of horses, or knacker," as well as a slaughterer of cattle or dairyman as of old. The following sub-sedlion (5) is altogether new: " Where a " Committee of the County Council determine to refuse, or to " recommend the Council to refuse, the renewal of any license 21 " under this section, the County Council shall, on written applica" tion made within seven days after such determination is made " known to the applicant, hear the applicant against such refusal." Sec.</x:v>
      </x:c>
    </x:row>
    <x:row r="26" ht="62" customHeight="1">
      <x:c r="A26" s="41" t="str">
        <x:v>1891_0025</x:v>
      </x:c>
      <x:c r="B26" s="41" t="n">
        <x:v>1891</x:v>
      </x:c>
      <x:c r="C26" s="41" t="n">
        <x:v>1892</x:v>
      </x:c>
      <x:c r="D26" s="41" t="str">
        <x:v>governance; sanitary</x:v>
      </x:c>
      <x:c r="E26" s="41" t="str">
        <x:v>governance: sanitary authority | sanitary: nuisance, nuisances, refuse</x:v>
      </x:c>
      <x:c r="F26" s="41" t="str">
        <x:v>No</x:v>
      </x:c>
      <x:c r="G26" s="41"/>
      <x:c r="H26" s="41" t="str">
        <x:v>No</x:v>
      </x:c>
      <x:c r="I26" s="41" t="str"/>
      <x:c r="J26" s="41" t="str">
        <x:v>https://wellcomelibrary.org/moh/report/b19883663</x:v>
      </x:c>
      <x:c r="K26" s="41" t="str">
        <x:v>data/moh_raw/Whitechapel_1891_b19883663_fulltext.txt</x:v>
      </x:c>
      <x:c r="L26" s="41" t="str">
        <x:v>21, provides for a fine where this part of the Act is contravened of a sum not exceeding fifty pounds, instead of as formerly five pounds for a first offence. Sec. 22, which consists of two sub-sections concerns Local Authorities only. It enacts as follows:� " The removal of house refuse and street refuse by a sanitary " authority when collected or deposited by that authority shall be " deemed to be a business carried on by that authority within the " meaning of the last preceding section,* and a complaint or " proceedings under that section in relation to any such business " may be made or taken by the County Council in like manner as" if the Council were a sanitary authority. " Any premises used by a Sanitary Authority for the treatment " or disposal of any street refuse or house refuse, as distinct from "the removal thereof, which are a nuisance or injurious, or " dangerous to health, shall be a nuisance liable to be dealt with " summarily under this Act, and for the purpose of the application " thereto of the provision of this Act relating to such nuisances, " the County Council shall be deemed to be a Sanitary Authority." Sees.</x:v>
      </x:c>
    </x:row>
    <x:row r="27" ht="62" customHeight="1">
      <x:c r="A27" s="41" t="str">
        <x:v>1891_0026</x:v>
      </x:c>
      <x:c r="B27" s="41" t="n">
        <x:v>1891</x:v>
      </x:c>
      <x:c r="C27" s="41" t="n">
        <x:v>1892</x:v>
      </x:c>
      <x:c r="D27" s="41" t="str">
        <x:v>governance; sanitary</x:v>
      </x:c>
      <x:c r="E27" s="41" t="str">
        <x:v>governance: sanitary authority | sanitary: sanitary</x:v>
      </x:c>
      <x:c r="F27" s="41" t="str">
        <x:v>No</x:v>
      </x:c>
      <x:c r="G27" s="41"/>
      <x:c r="H27" s="41" t="str">
        <x:v>No</x:v>
      </x:c>
      <x:c r="I27" s="41" t="str"/>
      <x:c r="J27" s="41" t="str">
        <x:v>https://wellcomelibrary.org/moh/report/b19883663</x:v>
      </x:c>
      <x:c r="K27" s="41" t="str">
        <x:v>data/moh_raw/Whitechapel_1891_b19883663_fulltext.txt</x:v>
      </x:c>
      <x:c r="L27" s="41" t="str">
        <x:v>22 " exceeding five pounds and to a further fine not exceeding " ten shillings for every day during which he continues to make " default after conviction; and the Sanitary Authority may, if " they think fit, cause the workshop or part to be limewashed, " cleansed, or purified, and may recover in a summary manner " the expenses incurred by them in so doing from the person on " whom the notice was served. " This section shall apply to any factory which is not subject to " the provisions of the Factory and Workshop Act, 1878, and the " Acts amending the same, and to any workplace, in like manner " as it applies to a workshop. "Sections thirty-four, thirty-five, and eighty-one of the Factory " and Workshop Act, 1878, and sections fifteen and sixteen of the " Factory and Workshop Act Amendment Act, 1883 (which relate " to cleanliness, ventilation, and other sanitary conditions), shall, " as respects every bakehouse which is a workshop, be enforced</x:v>
      </x:c>
    </x:row>
    <x:row r="28" ht="62" customHeight="1">
      <x:c r="A28" s="41" t="str">
        <x:v>1891_0027</x:v>
      </x:c>
      <x:c r="B28" s="41" t="n">
        <x:v>1891</x:v>
      </x:c>
      <x:c r="C28" s="41" t="n">
        <x:v>1892</x:v>
      </x:c>
      <x:c r="D28" s="41" t="str">
        <x:v>governance; sanitary</x:v>
      </x:c>
      <x:c r="E28" s="41" t="str">
        <x:v>governance: sanitary authority | sanitary: nuisances</x:v>
      </x:c>
      <x:c r="F28" s="41" t="str">
        <x:v>No</x:v>
      </x:c>
      <x:c r="G28" s="41"/>
      <x:c r="H28" s="41" t="str">
        <x:v>No</x:v>
      </x:c>
      <x:c r="I28" s="41" t="str"/>
      <x:c r="J28" s="41" t="str">
        <x:v>https://wellcomelibrary.org/moh/report/b19883663</x:v>
      </x:c>
      <x:c r="K28" s="41" t="str">
        <x:v>data/moh_raw/Whitechapel_1891_b19883663_fulltext.txt</x:v>
      </x:c>
      <x:c r="L28" s="41" t="str">
        <x:v>" by the Sanitary Authority of the district in which the bakehouse " is situate, and they shall be the Local Authority within the " meaning of those sections. " For the purposes of this section, the provisions of this Act " with respect to the admission of the Sanitary Authority and " their Officers into any premises for any purpose in relation to " nuisances shall apply in like manner as if they were herein " re-enacted, and in terms made applicable to this section ; and " every person refusing or failing to allow the Sanitary Authority " or their Officer to enter any premises in pursuance of those " provisions for the purposes of this section shall be subject to a " fine." Sec.</x:v>
      </x:c>
    </x:row>
    <x:row r="29" ht="62" customHeight="1">
      <x:c r="A29" s="41" t="str">
        <x:v>1891_0028</x:v>
      </x:c>
      <x:c r="B29" s="41" t="n">
        <x:v>1891</x:v>
      </x:c>
      <x:c r="C29" s="41" t="n">
        <x:v>1892</x:v>
      </x:c>
      <x:c r="D29" s="41" t="str">
        <x:v>governance; sanitary</x:v>
      </x:c>
      <x:c r="E29" s="41" t="str">
        <x:v>governance: sanitary authority | sanitary: refuse</x:v>
      </x:c>
      <x:c r="F29" s="41" t="str">
        <x:v>No</x:v>
      </x:c>
      <x:c r="G29" s="41"/>
      <x:c r="H29" s="41" t="str">
        <x:v>No</x:v>
      </x:c>
      <x:c r="I29" s="41" t="str"/>
      <x:c r="J29" s="41" t="str">
        <x:v>https://wellcomelibrary.org/moh/report/b19883663</x:v>
      </x:c>
      <x:c r="K29" s="41" t="str">
        <x:v>data/moh_raw/Whitechapel_1891_b19883663_fulltext.txt</x:v>
      </x:c>
      <x:c r="L29" s="41" t="str">
        <x:v>30 recites: " It shall be the duty of every Sanitary " Authority to secure the due removal at proper periods of house " refuse from premises, and the due cleansing out and emptying " at proper periods of ashpits, and of earth closets, privies, and " cesspools (if any), in their district, and the giving of sufficient 23 " notice of the times appointed for such removal, cleansing out, " and emptying, and where the house refuse is not removed from '� any premises in the district at the ordinary period, or any " ashpit, earth-closet, privy, or cesspool, in or under any building " in the district, is not cleansed out or emptied at the ordinary " period, and the occupier of the premises serves on the Authority " a written notice requiring the removal of such refuse, or the " cleansing out and emptying of the ashpit, earth-closet, privy, or " cesspool, as the case may be, to comply with such notice within " forty-eight hours after that service, exclusive of Sundays and " public holidays. . " If a Sanitary Authority fail without reasonable cause to comply " with this section, they shall be liable to a fine not exceeding " twenty pounds. " If any person in the employ of the Sanitary Authority, or of " any contractor with the Sanitary Authority, demands from an " occupier or his servant any fee or gratuity for removing any " house refuse from any premises, he shall be liable to a fine not " exceeding twenty shillings." Sec.</x:v>
      </x:c>
    </x:row>
    <x:row r="30" ht="62" customHeight="1">
      <x:c r="A30" s="41" t="str">
        <x:v>1891_0029</x:v>
      </x:c>
      <x:c r="B30" s="41" t="n">
        <x:v>1891</x:v>
      </x:c>
      <x:c r="C30" s="41" t="n">
        <x:v>1892</x:v>
      </x:c>
      <x:c r="D30" s="41" t="str">
        <x:v>governance; sanitary</x:v>
      </x:c>
      <x:c r="E30" s="41" t="str">
        <x:v>governance: inspector, sanitary authority | sanitary: filth, sanitary</x:v>
      </x:c>
      <x:c r="F30" s="41" t="str">
        <x:v>No</x:v>
      </x:c>
      <x:c r="G30" s="41"/>
      <x:c r="H30" s="41" t="str">
        <x:v>No</x:v>
      </x:c>
      <x:c r="I30" s="41" t="str"/>
      <x:c r="J30" s="41" t="str">
        <x:v>https://wellcomelibrary.org/moh/report/b19883663</x:v>
      </x:c>
      <x:c r="K30" s="41" t="str">
        <x:v>data/moh_raw/Whitechapel_1891_b19883663_fulltext.txt</x:v>
      </x:c>
      <x:c r="L30" s="41" t="str">
        <x:v>35 : " Where it appears to a Sanitary Inspector that any " accumulation of any obnoxious matter, whether manure, dung, " soil, filth, or other matter, ought to be removed, and it is not the " duty of the Sanitary Authority to remove the same, he shall " serve notice on the owner thereof, or on the occupier of the " premises on which it exists, requiring him to remove the same, " and if the notice is not complied with within forty-eight hours " from the service thereof, exclusive of Sundays and public holi" days, the matter referred to shall be the property of the Sanitary " Authority, and be removed and disposed of by them, and the " proceeds (if any) of such disposal shall be applied in payment of " the expenses incurred with reference to the matter removed, and " the surplus (if any) shall be paid on demand to the former owner " of the matter. " The expenses of such renewal and disposal, so far as not " covered by sych proceeds, may be recovered by the Sanitary " Authority in a summary manner from the former owner of the " matter removed, or from the occupier, or, where there is no " occupier, the owner of the premises." 24 Sec.</x:v>
      </x:c>
    </x:row>
    <x:row r="31" ht="62" customHeight="1">
      <x:c r="A31" s="41" t="str">
        <x:v>1891_0030</x:v>
      </x:c>
      <x:c r="B31" s="41" t="n">
        <x:v>1891</x:v>
      </x:c>
      <x:c r="C31" s="41" t="n">
        <x:v>1892</x:v>
      </x:c>
      <x:c r="D31" s="41" t="str">
        <x:v>governance; housing</x:v>
      </x:c>
      <x:c r="E31" s="41" t="str">
        <x:v>governance: sanitary authority | housing: houses</x:v>
      </x:c>
      <x:c r="F31" s="41" t="str">
        <x:v>No</x:v>
      </x:c>
      <x:c r="G31" s="41"/>
      <x:c r="H31" s="41" t="str">
        <x:v>No</x:v>
      </x:c>
      <x:c r="I31" s="41" t="str"/>
      <x:c r="J31" s="41" t="str">
        <x:v>https://wellcomelibrary.org/moh/report/b19883663</x:v>
      </x:c>
      <x:c r="K31" s="41" t="str">
        <x:v>data/moh_raw/Whitechapel_1891_b19883663_fulltext.txt</x:v>
      </x:c>
      <x:c r="L31" s="41" t="str">
        <x:v>37, sub-section 4 (b.):�"Where a watercloset has before " the commencement of this Act, been and Regulations " is used in common by the inmates of two as to Water "or more houses, and in the opinion of the closets, &amp;C. " Sanitary Authority may continue to be pro" perly so used, they need not require a water" closet to be provided for each house." Sec. 39 :�" The County Council shall make bye-laws with " respect to waterclosets, earth-closets, privies, ashpits, cesspools, " and receptacles for dung, and the proper accessories thereof in " connexion with buildings, whether constructed before or after " the passing of this Act. " Every Sanitary Authority shall make bye-laws with respect " to the keeping of water-closets supplied with sufficient water for " their effective action. " It shall be the duty of every Sanitary Authority to observe " and enforce the bye-laws under this section ; and any directions "given by the Sanitary Authority under this Act shall be in " accordance with the said bye-laws, and so far as they are not so " in accordance shall be void." Sec.</x:v>
      </x:c>
    </x:row>
    <x:row r="32" ht="62" customHeight="1">
      <x:c r="A32" s="41" t="str">
        <x:v>1891_0031</x:v>
      </x:c>
      <x:c r="B32" s="41" t="n">
        <x:v>1891</x:v>
      </x:c>
      <x:c r="C32" s="41" t="n">
        <x:v>1892</x:v>
      </x:c>
      <x:c r="D32" s="41" t="str">
        <x:v>governance; sanitary</x:v>
      </x:c>
      <x:c r="E32" s="41" t="str">
        <x:v>governance: sanitary authority | sanitary: drain, nuisance, sewer</x:v>
      </x:c>
      <x:c r="F32" s="41" t="str">
        <x:v>No</x:v>
      </x:c>
      <x:c r="G32" s="41"/>
      <x:c r="H32" s="41" t="str">
        <x:v>No</x:v>
      </x:c>
      <x:c r="I32" s="41" t="str"/>
      <x:c r="J32" s="41" t="str">
        <x:v>https://wellcomelibrary.org/moh/report/b19883663</x:v>
      </x:c>
      <x:c r="K32" s="41" t="str">
        <x:v>data/moh_raw/Whitechapel_1891_b19883663_fulltext.txt</x:v>
      </x:c>
      <x:c r="L32" s="41" t="str">
        <x:v>40 which makes provision for the due care of water-closets, &amp;c., now includes ' ash-pit.' Sec. 41 which forbids without the consent of the Sanitary Authority the re-construction of any water-closet, earth-closet, privy, ashpit, or cesspool, which has been ordered by them either not to be made, or to be demolished, now excludes " sewer and drain " which were mentioned in former Acts. Sec. 42 recites : " If a water-closet or drain is so constructed or " repaired as to be a nuisance or injurious or dangerous to health, " the person who undertook or executed such construction or " repair, shall, unless he shows that such construction or repair " was not due to any wilful act, neglect, or default, be liable to a " fine not exceeding twenty pounds. " Provided that where a person is charged with an offence under " this section, he shall be entitled upon information duly laid by " him, to have any other person, being his agent, servant, or " workman, whom he charges as the actual offender, brought before " the court at the time appointed for hearing the charge, and if he 25 " proves to the satisfaction of the court that he had used due " diligence to prevent the commission of the offence, and that the " said other person committed the offence without his knowledge, " consent, or connivance, he shall be exempt from any fine, and the " said other person may be summarily convicted of the offence." Sec.</x:v>
      </x:c>
    </x:row>
    <x:row r="33" ht="62" customHeight="1">
      <x:c r="A33" s="41" t="str">
        <x:v>1891_0033</x:v>
      </x:c>
      <x:c r="B33" s="41" t="n">
        <x:v>1891</x:v>
      </x:c>
      <x:c r="C33" s="41" t="n">
        <x:v>1892</x:v>
      </x:c>
      <x:c r="D33" s="41" t="str">
        <x:v>governance; sanitary</x:v>
      </x:c>
      <x:c r="E33" s="41" t="str">
        <x:v>governance: sanitary authority | sanitary: refuse</x:v>
      </x:c>
      <x:c r="F33" s="41" t="str">
        <x:v>No</x:v>
      </x:c>
      <x:c r="G33" s="41"/>
      <x:c r="H33" s="41" t="str">
        <x:v>No</x:v>
      </x:c>
      <x:c r="I33" s="41" t="str"/>
      <x:c r="J33" s="41" t="str">
        <x:v>https://wellcomelibrary.org/moh/report/b19883663</x:v>
      </x:c>
      <x:c r="K33" s="41" t="str">
        <x:v>data/moh_raw/Whitechapel_1891_b19883663_fulltext.txt</x:v>
      </x:c>
      <x:c r="L33" s="41" t="str">
        <x:v>If the occupier of a licensed slaughter-house is convicted " of an offence under this section, the Court convicting him may "cancel the license for such slaughter-house.'' * Not exceeding fifty pounds for every animal, or article, or if the article consists of fruit, vegetables, corn, bread, or flour, for every parcel thereof so condemned, or, at the discretion of the Court, without the inflidtion of a fine, to imprisonment for a term of not more than six months with or without hard labour. 26 " Where a person has in his possession any article which is " unsound, or unwholesome, or unfit for the food of man, he may, " by written notice to the Sanitary Authority, specifying such " article, and containing a sufficient identification of it, request its " removal, and the Sanitary Authority shall cause it to be " removed as if it were trade refuse." Sec. 48 : "A house which after the commencement of this Act " is newly erefted, or is pulled down to or below Provisions as "the ground floor and rebuilt, shall not be to Water. " occupied as a dwelling house until the Sanitary " Authority have certified that it has a proper " and sufficient supply of water, either from a Water Company " or by some other means.</x:v>
      </x:c>
    </x:row>
    <x:row r="34" ht="62" customHeight="1">
      <x:c r="A34" s="41" t="str">
        <x:v>1891_0034</x:v>
      </x:c>
      <x:c r="B34" s="41" t="n">
        <x:v>1891</x:v>
      </x:c>
      <x:c r="C34" s="41" t="n">
        <x:v>1892</x:v>
      </x:c>
      <x:c r="D34" s="41" t="str">
        <x:v>governance; sanitary</x:v>
      </x:c>
      <x:c r="E34" s="41" t="str">
        <x:v>governance: sanitary authority | sanitary: refuse, water supply</x:v>
      </x:c>
      <x:c r="F34" s="41" t="str">
        <x:v>No</x:v>
      </x:c>
      <x:c r="G34" s="41"/>
      <x:c r="H34" s="41" t="str">
        <x:v>No</x:v>
      </x:c>
      <x:c r="I34" s="41" t="str"/>
      <x:c r="J34" s="41" t="str">
        <x:v>https://wellcomelibrary.org/moh/report/b19883663</x:v>
      </x:c>
      <x:c r="K34" s="41" t="str">
        <x:v>data/moh_raw/Whitechapel_1891_b19883663_fulltext.txt</x:v>
      </x:c>
      <x:c r="L34" s="41" t="str">
        <x:v>If the Sanitary Authority refuse such "certificate, or fail to give it within one month after written " request for the same from the owner of the house, the owner " of the house may apply to a Petty Sessional Court, and that " Court, after hearing or giving the Sanitary Authority an " opportunity to be heard, may, if they think the certificate ought " to have been granted, make an order authorising the occupation " of the house; but, unless such order is made, an owner who " occupies, or permits to be occupied, the house as a dwelling" house without such certificate, shall be liable to a fine not " exceeding ten pounds, and to a fine not exceeding twenty "shillings for every day during which it is so occupied, until a " proper and sufficient supply of water is provided; but the "imposition of such a fine shall be without prejudice to any " proceedings for obtaining a closing order." Sec. 49 now requires Water Companies to do legally that which they always did, viz.: where they cut off the water supply from any house to notify the same within twenty-four hours to the Sanitary Authority.</x:v>
      </x:c>
    </x:row>
    <x:row r="35" ht="62" customHeight="1">
      <x:c r="A35" s="41" t="str">
        <x:v>1891_0035</x:v>
      </x:c>
      <x:c r="B35" s="41" t="n">
        <x:v>1891</x:v>
      </x:c>
      <x:c r="C35" s="41" t="n">
        <x:v>1892</x:v>
      </x:c>
      <x:c r="D35" s="41" t="str">
        <x:v>disease; governance; sanitary</x:v>
      </x:c>
      <x:c r="E35" s="41" t="str">
        <x:v>disease: notification | governance: board, medical officer, sanitary authority | sanitary: sanitary</x:v>
      </x:c>
      <x:c r="F35" s="41" t="str">
        <x:v>No</x:v>
      </x:c>
      <x:c r="G35" s="41"/>
      <x:c r="H35" s="41" t="str">
        <x:v>No</x:v>
      </x:c>
      <x:c r="I35" s="41" t="str"/>
      <x:c r="J35" s="41" t="str">
        <x:v>https://wellcomelibrary.org/moh/report/b19883663</x:v>
      </x:c>
      <x:c r="K35" s="41" t="str">
        <x:v>data/moh_raw/Whitechapel_1891_b19883663_fulltext.txt</x:v>
      </x:c>
      <x:c r="L35" s="41" t="str">
        <x:v>A breach of this clause is punishable by a fine of ten pounds. Sec. 50 enacts that: " Every Sanitary Authority shall make " bye-laws for securing the cleanliness and freedom from pollution " of tanks, cisterns, and other receptacles used for storing of water " used or likely to be used by man for drinking or domestic " purposes, or for manufacturing drink for the use of man." Sec. 54 is amended by the addition of the words " or for manu" facturing drink for the use of man " and " or is likely to be so 27 " polluted " and " or dangerous," all in 5th and the 6th lines of the section. ' Sec. 55 amends the former act by requiring the medical practitioner who notifies to the Sanitary Authority, to Infectious amplify the particulars, in accordance with the Diseases.� amended form. It also modifies the duties of Notification. Superintendents to the Asylums Board Hospitals so far as concerns notification to Sanitary Authorities. It further requires that the Medical Officer of Health shall, within twelve hours from the receipt of notification of an infectious disease, send a copy " to the head teacher of the school " attended by the patient (if a child), or by any child who is an " inmate of the same house as the patient." It is also enacted that the Metropolitan Asylum Managers shall send weekly " to " every Medical Officer of Health such return of the infectious " diseases of which they receive certificates in pursuance of this " section as the County Council require." Sec.</x:v>
      </x:c>
    </x:row>
    <x:row r="36" ht="62" customHeight="1">
      <x:c r="A36" s="41" t="str">
        <x:v>1891_0039</x:v>
      </x:c>
      <x:c r="B36" s="41" t="n">
        <x:v>1891</x:v>
      </x:c>
      <x:c r="C36" s="41" t="n">
        <x:v>1892</x:v>
      </x:c>
      <x:c r="D36" s="41" t="str">
        <x:v>governance; inequality; sanitary</x:v>
      </x:c>
      <x:c r="E36" s="41" t="str">
        <x:v>governance: board, sanitary authority | inequality: poor | sanitary: sanitary</x:v>
      </x:c>
      <x:c r="F36" s="41" t="str">
        <x:v>Yes</x:v>
      </x:c>
      <x:c r="G36" s="41"/>
      <x:c r="H36" s="41" t="str">
        <x:v>No</x:v>
      </x:c>
      <x:c r="I36" s="41" t="str"/>
      <x:c r="J36" s="41" t="str">
        <x:v>https://wellcomelibrary.org/moh/report/b19883663</x:v>
      </x:c>
      <x:c r="K36" s="41" t="str">
        <x:v>data/moh_raw/Whitechapel_1891_b19883663_fulltext.txt</x:v>
      </x:c>
      <x:c r="L36" s="41" t="str">
        <x:v>All such expenses '' shall be " paid by the Board of Guardians of the Poor Law Union from " which he is received." Sec. 81 declares that children sent by the London School Board to any industrial school outside London, shall be considered as belonging to London in the event of being admitted into any hospital belonging to the Metropolitan Asylum Managers. 29 Sec. 88, by the substitution of the word "shall" for "may" renders it compulsory for every Sanitary Authority Mortuaries, to provide a Mortuary, and they may make byelaws with respect to the management of the building. Sec. go gives power to the County Council to compel Sanitary Authorities to provide and maintain a proper building for the reception of dead bodies during the time required to conduct any post-mortem examination ordered by a coroner or other constituted authority. Sec. 91 : "Any Sanitary Authorities may, with the approval of " the County Council, execute their duty under this Act, with " respect to mortuaries and buildings for post-mortem examina" tions by combining for the purpose thereof, or by contracting for " the use by one of the contracting authorities of any such " mortuary or building provided by another of such contracting " authorities, and may so combine or contract upon such terms as " may be agreed upon.'' Sec.</x:v>
      </x:c>
    </x:row>
    <x:row r="37" ht="62" customHeight="1">
      <x:c r="A37" s="41" t="str">
        <x:v>1891_0040</x:v>
      </x:c>
      <x:c r="B37" s="41" t="n">
        <x:v>1891</x:v>
      </x:c>
      <x:c r="C37" s="41" t="n">
        <x:v>1892</x:v>
      </x:c>
      <x:c r="D37" s="41" t="str">
        <x:v>governance; housing; sanitary</x:v>
      </x:c>
      <x:c r="E37" s="41" t="str">
        <x:v>governance: sanitary authority | housing: houses, rooms | sanitary: drain</x:v>
      </x:c>
      <x:c r="F37" s="41" t="str">
        <x:v>No</x:v>
      </x:c>
      <x:c r="G37" s="41"/>
      <x:c r="H37" s="41" t="str">
        <x:v>No</x:v>
      </x:c>
      <x:c r="I37" s="41" t="str"/>
      <x:c r="J37" s="41" t="str">
        <x:v>https://wellcomelibrary.org/moh/report/b19883663</x:v>
      </x:c>
      <x:c r="K37" s="41" t="str">
        <x:v>data/moh_raw/Whitechapel_1891_b19883663_fulltext.txt</x:v>
      </x:c>
      <x:c r="L37" s="41" t="str">
        <x:v>92 : "The County Council shall provide and maintain " proper accommodation for the holding of inquests, and may by " agreement with a Sanitary Authority provide and maintain the " same in connexion with a mortuary or a building for post" mortem examinations provided by that Authority, or with any " building belonging to that Authority, and may do so on such "terms as may be agreed on with the Authority." Sec. 94 declares that " Every Sanitary Authority shall make " and enforce such bye-laws as are requisite Bye-laws as " for the following matters." This and the to Houses following several sections contain much that let in we are already familiar with, but in certain Lodgings. instances necessary amendments have been introduced. In the case of underground rooms, it is required that " every wall of the room " shall be "constructed " with a proper damp course, and, if in contact with the soil " it shall be " effectually secured against dampness from that soil." The area already provided for must be " properly paved." " Any drain passing under the room is to be properly constructed " of a gas-tight pipe." " The room must be effectually ventilated." 30 " For the purpose of this section, the expression ' underground " room ' includes any room of a house the surface of the floor " of which room is more than three feet below the surface of the " footway of the adjoining street, or of the ground adjoining or " nearest to the room." Sec.</x:v>
      </x:c>
    </x:row>
    <x:row r="38" ht="62" customHeight="1">
      <x:c r="A38" s="41" t="str">
        <x:v>1891_0041</x:v>
      </x:c>
      <x:c r="B38" s="41" t="n">
        <x:v>1891</x:v>
      </x:c>
      <x:c r="C38" s="41" t="n">
        <x:v>1892</x:v>
      </x:c>
      <x:c r="D38" s="41" t="str">
        <x:v>governance; sanitary</x:v>
      </x:c>
      <x:c r="E38" s="41" t="str">
        <x:v>governance: notices, sanitary authority | sanitary: nuisance</x:v>
      </x:c>
      <x:c r="F38" s="41" t="str">
        <x:v>No</x:v>
      </x:c>
      <x:c r="G38" s="41"/>
      <x:c r="H38" s="41" t="str">
        <x:v>No</x:v>
      </x:c>
      <x:c r="I38" s="41" t="str"/>
      <x:c r="J38" s="41" t="str">
        <x:v>https://wellcomelibrary.org/moh/report/b19883663</x:v>
      </x:c>
      <x:c r="K38" s="41" t="str">
        <x:v>data/moh_raw/Whitechapel_1891_b19883663_fulltext.txt</x:v>
      </x:c>
      <x:c r="L38" s="41" t="str">
        <x:v>98 : " Where two convictions for an offence relating to the " occupation of an underground room as a dwelling, have taken " place within a period of three months (whether the persons "convicted were or were not the same), a petty sessional court " may direct the closing of the underground room for such period " as the court may deem necessary, or may empower the Sanitary " Authority of the district permanently to close the same, in such " manner as they think fit, at their own cost." Sec. 99. " Where a Sanitary Authority appoint a Committee " for the purposes of this Act, that Committee, subject to terms " of their appointment, may serve and receive notices, take pro" ceedings, and empower any officer of the Authority to make " complaints and take proceedings in their behalf, and otherwise " to execute this Act." Sec. 100. " The County Council, on it being proved to their " satisfaction that any Sanitary Authority have made default in " doing their duty under this Act with respect to the removal of " any nuisance, the institution of any proceedings, or the enforce" ment of any byelaw, may institute any proceedings and do any " atft which the Authority might have instituted or done for that " purpose, and shall be entitled to recover from the Sanitary " Authority, in default all such expenses in and about the said " proceeding or act as the County Council incur, and are not " recovered from any person, and have not been incurred in any " unsuccessful proceeding." Sec.</x:v>
      </x:c>
    </x:row>
    <x:row r="39" ht="62" customHeight="1">
      <x:c r="A39" s="41" t="str">
        <x:v>1891_0042</x:v>
      </x:c>
      <x:c r="B39" s="41" t="n">
        <x:v>1891</x:v>
      </x:c>
      <x:c r="C39" s="41" t="n">
        <x:v>1892</x:v>
      </x:c>
      <x:c r="D39" s="41" t="str">
        <x:v>governance; sanitary</x:v>
      </x:c>
      <x:c r="E39" s="41" t="str">
        <x:v>governance: board, local government board, sanitary authority | sanitary: sanitary</x:v>
      </x:c>
      <x:c r="F39" s="41" t="str">
        <x:v>No</x:v>
      </x:c>
      <x:c r="G39" s="41"/>
      <x:c r="H39" s="41" t="str">
        <x:v>No</x:v>
      </x:c>
      <x:c r="I39" s="41" t="str"/>
      <x:c r="J39" s="41" t="str">
        <x:v>https://wellcomelibrary.org/moh/report/b19883663</x:v>
      </x:c>
      <x:c r="K39" s="41" t="str">
        <x:v>data/moh_raw/Whitechapel_1891_b19883663_fulltext.txt</x:v>
      </x:c>
      <x:c r="L39" s="41" t="str">
        <x:v>101 grants to the Local Government Board certain powers of direction should the Sanitary Authority be negligent in the performance of its duties. The remaining 43 sections are concerned chiefly with methods of procedure ; duties of Officers ; Byelaws, &amp;c. In this synopsis of the New Law contained in the " Public " Health (London) Atft, 1891," I have kept close to the phraseology of the Act, and I hope the result will be of service to the Board. 31 It is clear from a perusal of these few pages that SanitaryAuthorities are now in possession of powers which properly administered will lead to great future improvements in their Districts, and which should not press with undue severity upon owners of property. In every District there are probably men known as " house sweaters." To such the new Act will be as it was intended�a terror. It is scarcely necessary to add that your Sanitary Staff will endeavour to keep pace with the great increase of work which must be the outcome of this most important enadtment.</x:v>
      </x:c>
    </x:row>
    <x:row r="40" ht="62" customHeight="1">
      <x:c r="A40" s="41" t="str">
        <x:v>1891_0057</x:v>
      </x:c>
      <x:c r="B40" s="41" t="n">
        <x:v>1891</x:v>
      </x:c>
      <x:c r="C40" s="41" t="n">
        <x:v>1892</x:v>
      </x:c>
      <x:c r="D40" s="41" t="str">
        <x:v>governance; inequality; sanitary</x:v>
      </x:c>
      <x:c r="E40" s="41" t="str">
        <x:v>governance: board, inspection, medical officer | inequality: working classes | sanitary: drainage, sanitary</x:v>
      </x:c>
      <x:c r="F40" s="41" t="str">
        <x:v>Yes</x:v>
      </x:c>
      <x:c r="G40" s="41"/>
      <x:c r="H40" s="41" t="str">
        <x:v>No</x:v>
      </x:c>
      <x:c r="I40" s="41" t="str"/>
      <x:c r="J40" s="41" t="str">
        <x:v>https://wellcomelibrary.org/moh/report/b19883663</x:v>
      </x:c>
      <x:c r="K40" s="41" t="str">
        <x:v>data/moh_raw/Whitechapel_1891_b19883663_fulltext.txt</x:v>
      </x:c>
      <x:c r="L40" s="41" t="str">
        <x:v>46 Board of Works�Whitechapel District, Sanitary Department. To Dr. Joseph Loane, Medical Officer of Health. Sir, According to the usual custom we have prepared a tabulated statement of the year's work, and which we hand you herewith. To give a detailed account of the whole of the work would take up a considerable deal of time. However it is necessary that we should make a few remarks upon some of the work included in such tabulated statement. During the year a large amount of entire reconstruction of drainage has been carried out, and for the purposes of record it is our practice now to make plans of all premises in which entire reconstruction of drainage is carried out under our supervision, shewing the course and the several details connected therewith. We have been enabled this year to commence a systematic house-to-house inspection, detailed reports of which have been submitted from time to time. We do not propose to touch upon the results of proceedings under the Housing of the Working Classes Act, as we understand it to be your intention to make some special comments thereon.</x:v>
      </x:c>
    </x:row>
    <x:row r="41" ht="62" customHeight="1">
      <x:c r="A41" s="41" t="str">
        <x:v>1891_0058</x:v>
      </x:c>
      <x:c r="B41" s="41" t="n">
        <x:v>1891</x:v>
      </x:c>
      <x:c r="C41" s="41" t="n">
        <x:v>1892</x:v>
      </x:c>
      <x:c r="D41" s="41" t="str">
        <x:v>sanitary</x:v>
      </x:c>
      <x:c r="E41" s="41" t="str">
        <x:v>sanitary: sanitary</x:v>
      </x:c>
      <x:c r="F41" s="41" t="str">
        <x:v>No</x:v>
      </x:c>
      <x:c r="G41" s="41"/>
      <x:c r="H41" s="41" t="str">
        <x:v>No</x:v>
      </x:c>
      <x:c r="I41" s="41" t="str"/>
      <x:c r="J41" s="41" t="str">
        <x:v>https://wellcomelibrary.org/moh/report/b19883663</x:v>
      </x:c>
      <x:c r="K41" s="41" t="str">
        <x:v>data/moh_raw/Whitechapel_1891_b19883663_fulltext.txt</x:v>
      </x:c>
      <x:c r="L41" s="41" t="str">
        <x:v>It is gratifying to notice that there has been a considerable decrease in the number of cases of infectious diseases during the past year. The cases numbered in all 386, as against 570 in 1890, thus showing a decrease of 184. Disinfection was promptly carried out in every instance. We are, Sir, Your obedient Servants, RICHARD S. WRACK, THOS. P. WRACK, GEO. HARVEY, Sanitary Inspectors.</x:v>
      </x:c>
    </x:row>
    <x:row r="42" ht="62" customHeight="1">
      <x:c r="A42" s="41" t="str">
        <x:v>1892_0001</x:v>
      </x:c>
      <x:c r="B42" s="41" t="n">
        <x:v>1892</x:v>
      </x:c>
      <x:c r="C42" s="41" t="n">
        <x:v>1893</x:v>
      </x:c>
      <x:c r="D42" s="41" t="str">
        <x:v>governance; sanitary</x:v>
      </x:c>
      <x:c r="E42" s="41" t="str">
        <x:v>governance: board, local government board, medical officer | sanitary: sanitary</x:v>
      </x:c>
      <x:c r="F42" s="41" t="str">
        <x:v>No</x:v>
      </x:c>
      <x:c r="G42" s="41"/>
      <x:c r="H42" s="41" t="str">
        <x:v>No</x:v>
      </x:c>
      <x:c r="I42" s="41" t="str">
        <x:v>Leman Street</x:v>
      </x:c>
      <x:c r="J42" s="41" t="str">
        <x:v>https://wellcomelibrary.org/moh/report/b19883675</x:v>
      </x:c>
      <x:c r="K42" s="41" t="str">
        <x:v>data/moh_raw/Whitechapel_1892_b19883675_fulltext.txt</x:v>
      </x:c>
      <x:c r="L42" s="41" t="str">
        <x:v>WH140 THE ANNUAL REPORT on the Sanitary Condition of the WHITECHAPEL DISTRICT (WITH VITAL AND OTHER STATISTICS), FOR (53 Weeks of) THE YEAR 1892, by JOSEPH LOANE, M.R.C.P. Ed.,&amp;c., diplomate in public health, university of cambridge fellow of the incorporated society of medical officer of health associate of the college of state medicine; member of the sanitary institute; MEDICAL OFFICER OF HEALTH and public vaccinator to the whitechapel Union examiner in and instructor of vaccination by order of the local government board. LONDON. PRINTED BY PENNY AND HULL, 53, LEMAN STREET, E 1893. Offices of the Board of Works for Whitechapel District. Sanitary Department: No. 15, Great Alie Street, London, E. January 2yd, 1893. Gentlemen, Readers of the Reports which I have hitherto had the honor to present to your Board, are aware that in the classification of the various statistics which form the backbone of these Reports, I have used, as a model, those tables which are issued from the Office of the Registrar-General for England. By adopting this arrangement, a scale for comparison purposes is presented, so that I am enabled to invite attention to matters which contrast both favourably and unfavourably between the Metropolis as a whole and the Whitechapel District.</x:v>
      </x:c>
    </x:row>
    <x:row r="43" ht="62" customHeight="1">
      <x:c r="A43" s="41" t="str">
        <x:v>1892_0011</x:v>
      </x:c>
      <x:c r="B43" s="41" t="n">
        <x:v>1892</x:v>
      </x:c>
      <x:c r="C43" s="41" t="n">
        <x:v>1893</x:v>
      </x:c>
      <x:c r="D43" s="41" t="str">
        <x:v>disease; sanitary</x:v>
      </x:c>
      <x:c r="E43" s="41" t="str">
        <x:v>disease: diphtheria | sanitary: drainage</x:v>
      </x:c>
      <x:c r="F43" s="41" t="str">
        <x:v>No</x:v>
      </x:c>
      <x:c r="G43" s="41"/>
      <x:c r="H43" s="41" t="str">
        <x:v>No</x:v>
      </x:c>
      <x:c r="I43" s="41" t="str"/>
      <x:c r="J43" s="41" t="str">
        <x:v>https://wellcomelibrary.org/moh/report/b19883675</x:v>
      </x:c>
      <x:c r="K43" s="41" t="str">
        <x:v>data/moh_raw/Whitechapel_1892_b19883675_fulltext.txt</x:v>
      </x:c>
      <x:c r="L43" s="41" t="str">
        <x:v>It is of course difficult to obtain an exhaustive investigation, because many factors are brought into the question, and each has to be eliminated as an exciting cause. With regard to Diphtheria, I have before shown that since that disease appeared more frequently, a corresponding reduction in the number of cases of Croup became evident. When in active practice, I regarded the diseases as similar in respect to appearances and treatment. I am interested to observe that so high an authority on most subjects concerned in "medicine," as Mr. Jonathan Hutchinson, has recently advanced certain propositions which he logically and consistently maintains. Amongst others, I only extract those which are of interest to the non-professional reader. "Diphtheric inflammations may be induced by cold-catching, and when so induced they may become, as ordinary colds often do, contagious to other persons. There is no difference in nature between croup and diphtheria, excepting that in the latter malady the inflammation has developed in high degree its contagious properties. The spread of diphtheria in epidemics, in hospitals and in families, is to be wholly accounted for under the known laws of contagion, and that it is not probable that local conditions, such as defective drainage, &amp;c., apart from exposure to cold and damp, take any material share in its production." There is an almost universally prevailing popular opinion, that diphtheria and defective drainage are associated in the relation of 9 cause and effect.</x:v>
      </x:c>
    </x:row>
    <x:row r="44" ht="62" customHeight="1">
      <x:c r="A44" s="41" t="str">
        <x:v>1892_0015</x:v>
      </x:c>
      <x:c r="B44" s="41" t="n">
        <x:v>1892</x:v>
      </x:c>
      <x:c r="C44" s="41" t="n">
        <x:v>1893</x:v>
      </x:c>
      <x:c r="D44" s="41" t="str">
        <x:v>governance; housing; sanitary</x:v>
      </x:c>
      <x:c r="E44" s="41" t="str">
        <x:v>governance: board | housing: houses | sanitary: refuse</x:v>
      </x:c>
      <x:c r="F44" s="41" t="str">
        <x:v>No</x:v>
      </x:c>
      <x:c r="G44" s="41"/>
      <x:c r="H44" s="41" t="str">
        <x:v>No</x:v>
      </x:c>
      <x:c r="I44" s="41" t="str"/>
      <x:c r="J44" s="41" t="str">
        <x:v>https://wellcomelibrary.org/moh/report/b19883675</x:v>
      </x:c>
      <x:c r="K44" s="41" t="str">
        <x:v>data/moh_raw/Whitechapel_1892_b19883675_fulltext.txt</x:v>
      </x:c>
      <x:c r="L44" s="41" t="str">
        <x:v>This request was immediately met by the formation of a Committee to select the best machine in the market. After a painstaking inquiry, your Committee recommended the machine known as " Goddard, Massey and Warner's disinfecting apparatus." The recommendation was unanimously adopted by your Board, and I trust before this Report is placed in your hands, the District will have the advantage of a disinfecting appaatus of a most practical and efficient description. As a matter germane to the question of disinfection, it is fitting that I should record the decision arrived at by your Board, to enlarge the existing works concerned in the destruction of houserefuse by fire. At a considerable cost new cells are to be added, so that the entire refuse from houses within the District may be 11 consumed as rapidly as it becomes collected. This arrangement is another stage in the scheme of daily collection and destruction of house garbage. The closing scene will be arrived at when every house, or block of houses, shall have its pail or other receptacle called for daily by the scavengers.</x:v>
      </x:c>
    </x:row>
    <x:row r="45" ht="62" customHeight="1">
      <x:c r="A45" s="41" t="str">
        <x:v>1892_0016</x:v>
      </x:c>
      <x:c r="B45" s="41" t="n">
        <x:v>1892</x:v>
      </x:c>
      <x:c r="C45" s="41" t="n">
        <x:v>1893</x:v>
      </x:c>
      <x:c r="D45" s="41" t="str">
        <x:v>disease; governance; sanitary</x:v>
      </x:c>
      <x:c r="E45" s="41" t="str">
        <x:v>disease: cholera | governance: board, local government board | sanitary: sanitary</x:v>
      </x:c>
      <x:c r="F45" s="41" t="str">
        <x:v>No</x:v>
      </x:c>
      <x:c r="G45" s="41"/>
      <x:c r="H45" s="41" t="str">
        <x:v>No</x:v>
      </x:c>
      <x:c r="I45" s="41" t="str"/>
      <x:c r="J45" s="41" t="str">
        <x:v>https://wellcomelibrary.org/moh/report/b19883675</x:v>
      </x:c>
      <x:c r="K45" s="41" t="str">
        <x:v>data/moh_raw/Whitechapel_1892_b19883675_fulltext.txt</x:v>
      </x:c>
      <x:c r="L45" s="41" t="str">
        <x:v>The Autumn of 1892 stands out conspicuously from recent years, by the presence upon the Continent of a serious epidemic of true Asiatic Cholera. The daily press conveyed most minutely to its readers hideously graphic accounts of the progress of the disease. I do not propose to reproduce any of the news so reported, but will rest content with placing on record the precautions which were adopted by your Board, and by your Officers, to meet any visitation which might take place. For that purpose I propose to introduce a report which I prepared, in reply to a communication from the Local Government Board, requesting information concerning our preparedness in the event of an epidemic appearing in our District:� November 7th, 1892. To the Sanitary Committee, Gentlemen, The communication which has just been received from the Local Government Board, referring to that Board's Memorandum of the 25th Angust last, on the subject of Cholera, contains the request to be furnished with any Report by myself upon the Sanitary condition of the Whitechapel District, which I may have presented to your Board.</x:v>
      </x:c>
    </x:row>
    <x:row r="46" ht="62" customHeight="1">
      <x:c r="A46" s="41" t="str">
        <x:v>1892_0017</x:v>
      </x:c>
      <x:c r="B46" s="41" t="n">
        <x:v>1892</x:v>
      </x:c>
      <x:c r="C46" s="41" t="n">
        <x:v>1893</x:v>
      </x:c>
      <x:c r="D46" s="41" t="str">
        <x:v>disease; governance; housing; sanitary</x:v>
      </x:c>
      <x:c r="E46" s="41" t="str">
        <x:v>disease: cholera, diarrhoea | governance: local government board | housing: houses, model dwellings | sanitary: sanitary, water supply</x:v>
      </x:c>
      <x:c r="F46" s="41" t="str">
        <x:v>No</x:v>
      </x:c>
      <x:c r="G46" s="41" t="str">
        <x:v>immigrant foreigners</x:v>
      </x:c>
      <x:c r="H46" s="41" t="str">
        <x:v>Yes</x:v>
      </x:c>
      <x:c r="I46" s="41" t="str"/>
      <x:c r="J46" s="41" t="str">
        <x:v>https://wellcomelibrary.org/moh/report/b19883675</x:v>
      </x:c>
      <x:c r="K46" s="41" t="str">
        <x:v>data/moh_raw/Whitechapel_1892_b19883675_fulltext.txt</x:v>
      </x:c>
      <x:c r="L46" s="41" t="str">
        <x:v>As all Reports upon the subject were orally communicated either by myself directly, or in combination with statements made by your Clerk, it may be advisable that I should now briefly recapitulate the chief details which will inform the Local Government Board as to the condition of the Whitechapel District. In 1884 I reported to the Committee of Works as follows:�"Although in "1866. about 35 per cent. of our Residents suffered from Cholera, Choleraic "Diarrhoea, or Diarrhoea; and 566 lives (or over 7 per 1000 of the population) "were sacrificed to this terrible epidemic, I feel justified in asserting that a "repetition of such a history cannot occur in Whitechapel. Not only have many "of the worst houses been removed, but the entire District is in every way in a "far better Sanitary condition now. The water supply is also sufficient and " good." To a still greater extent these remarks are applicable to our District at the present time. More Model Dwellings occupy the site of former insanitary houses, and although certain parts of the Distridt�as much on account of the habits of immigrant foreigners, as from the condition of the houses�require to be improved, B 2 12 yet they are surrounded by a cordon of wholesome domiciles, so that, although sporadic cases of Cholera might become imported into the District, I do not think the conditions exists which are required for the Disease to become seriously epidemic.</x:v>
      </x:c>
    </x:row>
    <x:row r="47" ht="62" customHeight="1">
      <x:c r="A47" s="41" t="str">
        <x:v>1892_0018</x:v>
      </x:c>
      <x:c r="B47" s="41" t="n">
        <x:v>1892</x:v>
      </x:c>
      <x:c r="C47" s="41" t="n">
        <x:v>1893</x:v>
      </x:c>
      <x:c r="D47" s="41" t="str">
        <x:v>disease; governance; housing; inequality; sanitary</x:v>
      </x:c>
      <x:c r="E47" s="41" t="str">
        <x:v>disease: cholera, diarrhoea | governance: inspection | housing: houses | inequality: poor | sanitary: sanitary</x:v>
      </x:c>
      <x:c r="F47" s="41" t="str">
        <x:v>Yes</x:v>
      </x:c>
      <x:c r="G47" s="41"/>
      <x:c r="H47" s="41" t="str">
        <x:v>No</x:v>
      </x:c>
      <x:c r="I47" s="41" t="str"/>
      <x:c r="J47" s="41" t="str">
        <x:v>https://wellcomelibrary.org/moh/report/b19883675</x:v>
      </x:c>
      <x:c r="K47" s="41" t="str">
        <x:v>data/moh_raw/Whitechapel_1892_b19883675_fulltext.txt</x:v>
      </x:c>
      <x:c r="L47" s="41" t="str">
        <x:v>Notwithstanding this opinion, your Clerk and myself lost no time in looking to our fortifications, and we made active preparations to deal with any cases which might arise. For this purpose additional assistance was obtained, so that more constant inspection of the District should take place, and a larger system of general disinfection might be effected. Preparations were made to use some cottages, either as hospitals, or for shelters for the residents of houses where disease existed ; probably the latter, because previous experience has demonstrated that Cholera patients can only be removed safely in the very earliest stage of the disease. All the Medical Men in the District were communicated with. They were requested to report cases of Diarrhoea which occurred in their practices. They were asked to co-operate with the Sanitary Department, should such assistance be required. The replies from my friends were eminently satisfactory. It was proposed to rely upon existing Poor Law arrangements, and private Medical attendance, until Cholera actually appeared in the District. Should the disease manifest itself, it was suggested that a Medical Man should be appointed to take charge of the particular area incriminated.</x:v>
      </x:c>
    </x:row>
    <x:row r="48" ht="62" customHeight="1">
      <x:c r="A48" s="41" t="str">
        <x:v>1892_0019</x:v>
      </x:c>
      <x:c r="B48" s="41" t="n">
        <x:v>1892</x:v>
      </x:c>
      <x:c r="C48" s="41" t="n">
        <x:v>1893</x:v>
      </x:c>
      <x:c r="D48" s="41" t="str">
        <x:v>disease; inequality</x:v>
      </x:c>
      <x:c r="E48" s="41" t="str">
        <x:v>disease: diarrhoea | inequality: poor</x:v>
      </x:c>
      <x:c r="F48" s="41" t="str">
        <x:v>Yes</x:v>
      </x:c>
      <x:c r="G48" s="41"/>
      <x:c r="H48" s="41" t="str">
        <x:v>No</x:v>
      </x:c>
      <x:c r="I48" s="41" t="str"/>
      <x:c r="J48" s="41" t="str">
        <x:v>https://wellcomelibrary.org/moh/report/b19883675</x:v>
      </x:c>
      <x:c r="K48" s="41" t="str">
        <x:v>data/moh_raw/Whitechapel_1892_b19883675_fulltext.txt</x:v>
      </x:c>
      <x:c r="L48" s="41" t="str">
        <x:v>For the purpose the District should, in the first place, be divided into three parts, co-existent with the Poor Law Boundaries. Each of these divisions should then be sub-divided as occasion required, and thus, without waste of material, any portion of the District could be, at short notice, medically cared for. Our stock of Disinfectants was increased, to provide for sudden emergency. Arrangements were made to destroy any clothing or bedding which had been exposed to contagion, and preparations were made for the immediate removal to the Mortuary of any body which had died from disease of a suspicious nature. In one case of death from sudden Acute Diarrhoea, the body was placed in a well-pitched coffin, filled with disinfectants, and screwed down. It was removed to the Mortuary, and the Coroner was written to. That Officer dispensed with the viewing of the body, under the urgent circumstances of the case. Nothing was done which might create a panic. No large posters were placarded over the District, but arrangements were ready whereby such might be done at very short notice, if it had become necessary to do so.</x:v>
      </x:c>
    </x:row>
    <x:row r="49" ht="62" customHeight="1">
      <x:c r="A49" s="41" t="str">
        <x:v>1892_0020</x:v>
      </x:c>
      <x:c r="B49" s="41" t="n">
        <x:v>1892</x:v>
      </x:c>
      <x:c r="C49" s="41" t="n">
        <x:v>1893</x:v>
      </x:c>
      <x:c r="D49" s="41" t="str">
        <x:v>governance; housing; sanitary</x:v>
      </x:c>
      <x:c r="E49" s="41" t="str">
        <x:v>governance: board | housing: overcrowding, rooms | sanitary: drains, nuisances</x:v>
      </x:c>
      <x:c r="F49" s="41" t="str">
        <x:v>No</x:v>
      </x:c>
      <x:c r="G49" s="41"/>
      <x:c r="H49" s="41" t="str">
        <x:v>Yes</x:v>
      </x:c>
      <x:c r="I49" s="41" t="str"/>
      <x:c r="J49" s="41" t="str">
        <x:v>https://wellcomelibrary.org/moh/report/b19883675</x:v>
      </x:c>
      <x:c r="K49" s="41" t="str">
        <x:v>data/moh_raw/Whitechapel_1892_b19883675_fulltext.txt</x:v>
      </x:c>
      <x:c r="L49" s="41" t="str">
        <x:v>Small bills were judiciously distributed amongst those inhabitants, to whom it was thought proper to bring the information which was printed. I append a copy of this bill:� "WHITECHAPEL DISTRICT BOARD OF WORKS. INSTRUCTIONS TO INHABITANTS.� "Perfect cleanliness in person and Dwelling, and avoidance of all nuisances "in and around the house is of utmost importance. Freely use water and carbolic "acid to cleanse drains and sinks, No food which looks bad or which has an "unpleasant smell, should be eaten. Draw all drinking water from the main tap, "'and boil all drinking water and milk. Avoid overcrowding, and ventilate all "rooms. Every case of sickness must be notified to the Board Offices, No. 15, "Great Alie Street, E. Do not neglect the mildest attack of Diarrh�a, or other "illness. Report to the Officers of the Board when any unpleasant smells or "nuisances of any kind are noticed." 13 All the above preparations were made by your Officers during the recess of the Board, but a special Committee of Works meeting was summoned for the 1st September, at which your Clerk explained what had taken place, and the measures which were in contemplation by your Officers, should the occasion require them.</x:v>
      </x:c>
    </x:row>
    <x:row r="50" ht="62" customHeight="1">
      <x:c r="A50" s="41" t="str">
        <x:v>1892_0021</x:v>
      </x:c>
      <x:c r="B50" s="41" t="n">
        <x:v>1892</x:v>
      </x:c>
      <x:c r="C50" s="41" t="n">
        <x:v>1893</x:v>
      </x:c>
      <x:c r="D50" s="41" t="str">
        <x:v>governance; housing</x:v>
      </x:c>
      <x:c r="E50" s="41" t="str">
        <x:v>governance: local government board, sanitary authority | housing: model dwellings</x:v>
      </x:c>
      <x:c r="F50" s="41" t="str">
        <x:v>No</x:v>
      </x:c>
      <x:c r="G50" s="41"/>
      <x:c r="H50" s="41" t="str">
        <x:v>No</x:v>
      </x:c>
      <x:c r="I50" s="41" t="str"/>
      <x:c r="J50" s="41" t="str">
        <x:v>https://wellcomelibrary.org/moh/report/b19883675</x:v>
      </x:c>
      <x:c r="K50" s="41" t="str">
        <x:v>data/moh_raw/Whitechapel_1892_b19883675_fulltext.txt</x:v>
      </x:c>
      <x:c r="L50" s="41" t="str">
        <x:v>The Committee assented to the proposed arrangements, and gave power to the Officers to do what they deemed necessary. Since then, the vigilance of your staff has been maintained. The matters referred to in the memoranda and circulars of the Local Government Board have been carefully borne in mind. Every person, whose address has been forwarded by a Port Sanitary Authority�such persons coming from an infected port�has been visited, and such visits have been continued daily for a week, when the addresses given have been correct. Personally, I have visited most of the Model Dwellings in the District, with a view to having general thorough cleansing of such premises effected during the present year. In this work, I have been most kindly assisted by the owners of the buildings, who have promised to co-operate in every way. In conclusion, I may mention, that the general systematic inspe&amp;ion from house to house has been carried out to as great an extent as possible. I have the honor to be, Gentlemen, Your obedient Servant.</x:v>
      </x:c>
    </x:row>
    <x:row r="51" ht="62" customHeight="1">
      <x:c r="A51" s="41" t="str">
        <x:v>1892_0023</x:v>
      </x:c>
      <x:c r="B51" s="41" t="n">
        <x:v>1892</x:v>
      </x:c>
      <x:c r="C51" s="41" t="n">
        <x:v>1893</x:v>
      </x:c>
      <x:c r="D51" s="41" t="str">
        <x:v>governance; sanitary</x:v>
      </x:c>
      <x:c r="E51" s="41" t="str">
        <x:v>governance: board | sanitary: water supply</x:v>
      </x:c>
      <x:c r="F51" s="41" t="str">
        <x:v>No</x:v>
      </x:c>
      <x:c r="G51" s="41"/>
      <x:c r="H51" s="41" t="str">
        <x:v>No</x:v>
      </x:c>
      <x:c r="I51" s="41" t="str"/>
      <x:c r="J51" s="41" t="str">
        <x:v>https://wellcomelibrary.org/moh/report/b19883675</x:v>
      </x:c>
      <x:c r="K51" s="41" t="str">
        <x:v>data/moh_raw/Whitechapel_1892_b19883675_fulltext.txt</x:v>
      </x:c>
      <x:c r="L51" s="41" t="str">
        <x:v>Great satisfaction with the general arrangements have been expressed by the Coroner for that part of the District wherein the building is contained, as well as by the Doctors who have had occasion to use the post-mortem room. It is an open secret that, owing to the Whitechapel District possessing the doubtful advantage of being subject to the jurisdiction of two Coroners, neither of whom may officially step over his own boundary, difficulty occasionally arises. I propose shortly to call the attention of the Board to this matter, so that the County Council, or the Home Office may be officially informed of the certainty that, at some time, a scandal must be the outcome of the present arrangement. Should such representation fail to effect the conveyance to the District Mortuary of those deceased residents who require removal, I shall follow out my original plan most strenuously�that plan your Board is already familiar with. I have already adopted it partially. 15 I have no report concerning the quantity and quality of our water supply.</x:v>
      </x:c>
    </x:row>
    <x:row r="52" ht="62" customHeight="1">
      <x:c r="A52" s="41" t="str">
        <x:v>1892_0026</x:v>
      </x:c>
      <x:c r="B52" s="41" t="n">
        <x:v>1892</x:v>
      </x:c>
      <x:c r="C52" s="41" t="n">
        <x:v>1893</x:v>
      </x:c>
      <x:c r="D52" s="41" t="str">
        <x:v>housing; inequality; sanitary</x:v>
      </x:c>
      <x:c r="E52" s="41" t="str">
        <x:v>housing: houses | inequality: destitute, lodgers, poorest | sanitary: sanitary</x:v>
      </x:c>
      <x:c r="F52" s="41" t="str">
        <x:v>Yes</x:v>
      </x:c>
      <x:c r="G52" s="41"/>
      <x:c r="H52" s="41" t="str">
        <x:v>Yes</x:v>
      </x:c>
      <x:c r="I52" s="41" t="str"/>
      <x:c r="J52" s="41" t="str">
        <x:v>https://wellcomelibrary.org/moh/report/b19883675</x:v>
      </x:c>
      <x:c r="K52" s="41" t="str">
        <x:v>data/moh_raw/Whitechapel_1892_b19883675_fulltext.txt</x:v>
      </x:c>
      <x:c r="L52" s="41" t="str">
        <x:v>The Government has been requested to transfer the supervision of these houses from the police to the Local Sanitary Authorities. I must at once declare that when the class of house is taken into consideration, together with the persons who lodge therein, my* experience compels me to assert that the change proposed would not be a good one. At present the police sergeant (who acts under his superintendent) admirably supervises the arrangements for the health of the lodgers, and in matters requiring their intervention, the Sanitary Authorities are called in to co-operate. The regulations governing accommodation and ventilation are well framed under the provision of the Lodginghouses Acts, and I am sorry that all houses, where the comparatively destitute are housed, have not the advantage of similar supervision. It has been my duty on account of a case of small-pox occurring at each, to investigate the sanitary condition of two large shelters provided by a philanthropic association for sleeping the poorest persons. I will not here detail all that I have been compelled to note concerning the places themselves, and the sleeping accommodation provided; but I feel unable to answer the question which arises in my mind, namely :�What good purpose is here being served, which could not be better attained by the police registered and supervised Common-lodging Houses ?</x:v>
      </x:c>
    </x:row>
    <x:row r="53" ht="62" customHeight="1">
      <x:c r="A53" s="41" t="str">
        <x:v>1892_0027</x:v>
      </x:c>
      <x:c r="B53" s="41" t="n">
        <x:v>1892</x:v>
      </x:c>
      <x:c r="C53" s="41" t="n">
        <x:v>1893</x:v>
      </x:c>
      <x:c r="D53" s="41" t="str">
        <x:v>governance; housing; inequality</x:v>
      </x:c>
      <x:c r="E53" s="41" t="str">
        <x:v>governance: board | housing: houses | inequality: infirmary</x:v>
      </x:c>
      <x:c r="F53" s="41" t="str">
        <x:v>Yes</x:v>
      </x:c>
      <x:c r="G53" s="41"/>
      <x:c r="H53" s="41" t="str">
        <x:v>No</x:v>
      </x:c>
      <x:c r="I53" s="41" t="str"/>
      <x:c r="J53" s="41" t="str">
        <x:v>https://wellcomelibrary.org/moh/report/b19883675</x:v>
      </x:c>
      <x:c r="K53" s="41" t="str">
        <x:v>data/moh_raw/Whitechapel_1892_b19883675_fulltext.txt</x:v>
      </x:c>
      <x:c r="L53" s="41" t="str">
        <x:v>Suffice it to add, that I shall not fail in future to closely watch all similar houses, and when the 94th section of the Public Health (London) Act, 1891, shall be in operation in the District, all such establishments will probably be registered by your Board. That proper and sufficient lodging should be supplied for the nomadic labourer, to whom his lodging-house becomes his club, must be apparent to all; I am only anxious that such persons shall be surrounded by proper hygienic conditions. Last year I included in my Report a list of admissions into the Union Infirmary upon Medical Orders only, of persons lodging in the various shelters within the District. To the number of houses then given, another has been added. I append the correct list:� 18 Shelters. No. of Admission Orders given by the District Medical Officers. Salvation Army Shelter for men, 272, Whitechapel-road 182 � � women, 194, Hanbury-street 222 � � men, Quaker-street 102 � men, Royal Mint-street 56 Church Army Shelter for men, 83, Whitechapel-road 2 Tenter-street Shelter for Foreign Jews 21 Barnardo's Shelter for women, 12, Dock-street 62 647 When to this list is added the many cases where admission is obtained on the score of "urgency," without the intervention of the District Medical Officers, it will be apparent that such shelters influence the statistics in a very considerable degree.</x:v>
      </x:c>
    </x:row>
    <x:row r="54" ht="62" customHeight="1">
      <x:c r="A54" s="41" t="str">
        <x:v>1892_0030</x:v>
      </x:c>
      <x:c r="B54" s="41" t="n">
        <x:v>1892</x:v>
      </x:c>
      <x:c r="C54" s="41" t="n">
        <x:v>1893</x:v>
      </x:c>
      <x:c r="D54" s="41" t="str">
        <x:v>housing; inequality</x:v>
      </x:c>
      <x:c r="E54" s="41" t="str">
        <x:v>housing: houses | inequality: working classes</x:v>
      </x:c>
      <x:c r="F54" s="41" t="str">
        <x:v>Yes</x:v>
      </x:c>
      <x:c r="G54" s="41"/>
      <x:c r="H54" s="41" t="str">
        <x:v>No</x:v>
      </x:c>
      <x:c r="I54" s="41" t="str"/>
      <x:c r="J54" s="41" t="str">
        <x:v>https://wellcomelibrary.org/moh/report/b19883675</x:v>
      </x:c>
      <x:c r="K54" s="41" t="str">
        <x:v>data/moh_raw/Whitechapel_1892_b19883675_fulltext.txt</x:v>
      </x:c>
      <x:c r="L54" s="41" t="str">
        <x:v>Excepting under certain conditions, I am of opinion that much can be obtained more Housing of the readily from other legislative enactments. In. Working deed, even where the 1890 Act seemed to be the Classes Act, one best adapted to obtain the object desired, I 1890. have frequently obtained from owners of property the closing and even demolition of houses by consent. As an illustration of a difficulty which took place, where no other suitable means appeared to be available for the purpose, I ask your consideration of the following case. Two houses, entered from different streets, had been connected by irregular structures of wood, so as to become virtually one large building. This building was used partly as a Restaurant, and partly as a Turkish bath. The upper premises were occupied for residential purposes. Nothing more unwholesome than this jointly occupied place could be imagined. A summons was taken out under Section 32 (1) of the Housing of the Working Classes Act, 1890, against the owner, who is defined in the Act, as being the person having an interest in the premises of not less than 21 years.</x:v>
      </x:c>
    </x:row>
    <x:row r="55" ht="62" customHeight="1">
      <x:c r="A55" s="41" t="str">
        <x:v>1892_0033</x:v>
      </x:c>
      <x:c r="B55" s="41" t="n">
        <x:v>1892</x:v>
      </x:c>
      <x:c r="C55" s="41" t="n">
        <x:v>1893</x:v>
      </x:c>
      <x:c r="D55" s="41" t="str">
        <x:v>governance; sanitary</x:v>
      </x:c>
      <x:c r="E55" s="41" t="str">
        <x:v>governance: local government board | sanitary: sanitary</x:v>
      </x:c>
      <x:c r="F55" s="41" t="str">
        <x:v>No</x:v>
      </x:c>
      <x:c r="G55" s="41"/>
      <x:c r="H55" s="41" t="str">
        <x:v>No</x:v>
      </x:c>
      <x:c r="I55" s="41" t="str"/>
      <x:c r="J55" s="41" t="str">
        <x:v>https://wellcomelibrary.org/moh/report/b19883675</x:v>
      </x:c>
      <x:c r="K55" s="41" t="str">
        <x:v>data/moh_raw/Whitechapel_1892_b19883675_fulltext.txt</x:v>
      </x:c>
      <x:c r="L55" s="41" t="str">
        <x:v>All Local Authorities are urged by a letter of the Local Government Board, to examine such lists frequently, so as to make themselves aquainted with all places where out-workers in these trades are employed, with a view to remedy any Sanitary defects which may be found to exist. *Page 39. �Page 40. 22 We have, therefore, concerned in this work, first, the Home Office Officials, next the Local Sanitary Authorities, and lastly, the London County Council, who have under the Public Health (London) Act, equal powers with the Sanitary Authorities, and in fact, a general supervision over them. Now the difficulty arises, how are your Officers to carry out this work apart from their already over-taxed, and multefarious duties ? Generally, it must be admitted, that they are bound to become aquainted with every part of their District. This means of course, that house to house visitation must form an important routine. When one reflects, however, how constantly changing are the so-called " domestic workshops " in our District, I am at a loss to discover how, even with an increase in your staff, such new duties can be efficiently performed.</x:v>
      </x:c>
    </x:row>
    <x:row r="56" ht="62" customHeight="1">
      <x:c r="A56" s="41" t="str">
        <x:v>1893_0010</x:v>
      </x:c>
      <x:c r="B56" s="41" t="n">
        <x:v>1893</x:v>
      </x:c>
      <x:c r="C56" s="41" t="n">
        <x:v>1894</x:v>
      </x:c>
      <x:c r="D56" s="41" t="str">
        <x:v>disease; governance; housing</x:v>
      </x:c>
      <x:c r="E56" s="41" t="str">
        <x:v>disease: cholera, diphtheria, influenza | governance: board, local government board, medical officer | housing: houses</x:v>
      </x:c>
      <x:c r="F56" s="41" t="str">
        <x:v>No</x:v>
      </x:c>
      <x:c r="G56" s="41"/>
      <x:c r="H56" s="41" t="str">
        <x:v>No</x:v>
      </x:c>
      <x:c r="I56" s="41" t="str"/>
      <x:c r="J56" s="41" t="str">
        <x:v>https://wellcomelibrary.org/moh/report/b18018348</x:v>
      </x:c>
      <x:c r="K56" s="41" t="str">
        <x:v>data/moh_raw/Whitechapel_1893_b18018348_fulltext.txt</x:v>
      </x:c>
      <x:c r="L56" s="41" t="str">
        <x:v>Most of the other Zymotic diseases have their years of virulency, and those of mildness. Influenza re-appeared after an absence of many years, and during the last three years became responsible for nearly 150 deaths. Diphtheria seems to have come with the intention of remaining. Hitherto it has baffled the most skilled scientist to discover the secrets of its etiology. The Medical Officer of the Local Government Board, has recently given evidence that the subjecfl is one receiving the best attention of that Board's Officers. Almost the first work which devolved upon me ten years since, was to review our position, should Cholera arrive in this country. Scarcely a year has passed since then, without the subjedt being 2 discussed very seriously by your Board. During the whole of this period, the disease has been rife in the East, and it has occasionally come very close to our shores. Year by year, however, knowledge has taught many new things which wisdom has utilised, and thus, with total demolition of insanitary areas, and improvements in houses in crowded localities, combined with the sharp look-out which has been maintained by our Port Authorities, the enemy has only landed very rarely, and has had no chance to do much mischief when it did so.</x:v>
      </x:c>
    </x:row>
    <x:row r="57" ht="62" customHeight="1">
      <x:c r="A57" s="41" t="str">
        <x:v>1893_0022</x:v>
      </x:c>
      <x:c r="B57" s="41" t="n">
        <x:v>1893</x:v>
      </x:c>
      <x:c r="C57" s="41" t="n">
        <x:v>1894</x:v>
      </x:c>
      <x:c r="D57" s="41" t="str">
        <x:v>housing; sanitary</x:v>
      </x:c>
      <x:c r="E57" s="41" t="str">
        <x:v>housing: model dwellings | sanitary: water supply</x:v>
      </x:c>
      <x:c r="F57" s="41" t="str">
        <x:v>No</x:v>
      </x:c>
      <x:c r="G57" s="41"/>
      <x:c r="H57" s="41" t="str">
        <x:v>No</x:v>
      </x:c>
      <x:c r="I57" s="41" t="str"/>
      <x:c r="J57" s="41" t="str">
        <x:v>https://wellcomelibrary.org/moh/report/b18018348</x:v>
      </x:c>
      <x:c r="K57" s="41" t="str">
        <x:v>data/moh_raw/Whitechapel_1893_b18018348_fulltext.txt</x:v>
      </x:c>
      <x:c r="L57" s="41" t="str">
        <x:v>The in the difficulty was enhanced by the fact that whereas Whitechapel all other Metropolitan Water Companies are District. compelled to send water up to a height of 60 feet above the pavement level, the Company to which I refer are by enactment bound to afford a supply up to only 40 feet. The effect of this arrangement has been to limit the water supply to many tenants residing in the upper flats of Model Dwellings. I was compelled, in one instance, to exert some pressure upon the owners of a block of buildings, where the tenants had suffered from the short supply of water: the Owners issued a summons against the Company, and in the result, the summons was dismissed Subsequently, a meeting was convened at which all the Owners of Model Dwellings which were supplied by the Company, were represented. As the outcome of that meeting, memorials were forwarded to the London County Council by the Owners of the Model Dwellings, as well as by some of the Vestries and Boards, who are interested in the matter.</x:v>
      </x:c>
    </x:row>
    <x:row r="58" ht="62" customHeight="1">
      <x:c r="A58" s="41" t="str">
        <x:v>1893_0023</x:v>
      </x:c>
      <x:c r="B58" s="41" t="n">
        <x:v>1893</x:v>
      </x:c>
      <x:c r="C58" s="41" t="n">
        <x:v>1894</x:v>
      </x:c>
      <x:c r="D58" s="41" t="str">
        <x:v>governance; housing; inequality; sanitary</x:v>
      </x:c>
      <x:c r="E58" s="41" t="str">
        <x:v>governance: inspections | housing: houses | inequality: lodging-houses, poor | sanitary: sanitary, water supply</x:v>
      </x:c>
      <x:c r="F58" s="41" t="str">
        <x:v>Yes</x:v>
      </x:c>
      <x:c r="G58" s="41"/>
      <x:c r="H58" s="41" t="str">
        <x:v>Yes</x:v>
      </x:c>
      <x:c r="I58" s="41" t="str"/>
      <x:c r="J58" s="41" t="str">
        <x:v>https://wellcomelibrary.org/moh/report/b18018348</x:v>
      </x:c>
      <x:c r="K58" s="41" t="str">
        <x:v>data/moh_raw/Whitechapel_1893_b18018348_fulltext.txt</x:v>
      </x:c>
      <x:c r="L58" s="41" t="str">
        <x:v>The question is of such vital importance to the health of the inhabitants, that I hope some means may be found to avert a repetition of last year's experience. So far as the general quality of the District water supply is concerned, the official returns leave little to be desired. I have generally included in my Report some particulars concerning Registered Common Lodging-houses, and 1 again do so. It has been decided by the Home Secretary that so soon as arrangements can be made, he will transfer the jurisdiction of this class of Lodging-house from the police to the Local Authorities, so far as the Sanitary overlooking of them will be concerned. The police will still retain the right of entry for other purposes. I can only express a hope that the new plan will be as successful as the old plan has been. I have also appended a list of so-called philanthropic shelters within the District. These are in reality Common Lodging-houses b 2 10 not registered. I trust the time will soon arrive when all places set apart for the lodging of the very poor will be benefitted by the official inspections, to which the registered houses have long been subjected.</x:v>
      </x:c>
    </x:row>
    <x:row r="59" ht="62" customHeight="1">
      <x:c r="A59" s="41" t="str">
        <x:v>1893_0028</x:v>
      </x:c>
      <x:c r="B59" s="41" t="n">
        <x:v>1893</x:v>
      </x:c>
      <x:c r="C59" s="41" t="n">
        <x:v>1894</x:v>
      </x:c>
      <x:c r="D59" s="41" t="str">
        <x:v>governance; housing; inequality</x:v>
      </x:c>
      <x:c r="E59" s="41" t="str">
        <x:v>governance: board | housing: houses | inequality: working classes</x:v>
      </x:c>
      <x:c r="F59" s="41" t="str">
        <x:v>Yes</x:v>
      </x:c>
      <x:c r="G59" s="41"/>
      <x:c r="H59" s="41" t="str">
        <x:v>No</x:v>
      </x:c>
      <x:c r="I59" s="41" t="str"/>
      <x:c r="J59" s="41" t="str">
        <x:v>https://wellcomelibrary.org/moh/report/b18018348</x:v>
      </x:c>
      <x:c r="K59" s="41" t="str">
        <x:v>data/moh_raw/Whitechapel_1893_b18018348_fulltext.txt</x:v>
      </x:c>
      <x:c r="L59" s="41" t="str">
        <x:v>The attention of the London County Council was directed to the Bell Lane area very soon after the Council was formed, and certainly no plea of ignorance can be set up by the Council or its officers as to the condition of the area. Committees have visited the neighbourhood and discussed the question ; the Housing of the Working Classes Committee have received a deputation from the Whitechapel Board; the medical staff and the valuers and surveyors have so frequently inspected the houses that these gentlemen are personally well-known in that part of the district. Still no action has been taken under Part I. of the Housing of the Working Classes Act, 1890. It has even reached me that the Council propose by a plan�other than an improvement scheme�to remove as few of the houses in Middlesex Street and Sandys Row as will enable those streets to be widened equally with the southern end of Middlesex Street, so as to produce a good thoroughfare into the City. Whilst I am writing the matter is before your Board.</x:v>
      </x:c>
    </x:row>
    <x:row r="60" ht="62" customHeight="1">
      <x:c r="A60" s="41" t="str">
        <x:v>1893_0029</x:v>
      </x:c>
      <x:c r="B60" s="41" t="n">
        <x:v>1893</x:v>
      </x:c>
      <x:c r="C60" s="41" t="n">
        <x:v>1894</x:v>
      </x:c>
      <x:c r="D60" s="41" t="str">
        <x:v>governance; housing; inequality</x:v>
      </x:c>
      <x:c r="E60" s="41" t="str">
        <x:v>governance: board | housing: houses | inequality: working classes</x:v>
      </x:c>
      <x:c r="F60" s="41" t="str">
        <x:v>Yes</x:v>
      </x:c>
      <x:c r="G60" s="41"/>
      <x:c r="H60" s="41" t="str">
        <x:v>No</x:v>
      </x:c>
      <x:c r="I60" s="41" t="str"/>
      <x:c r="J60" s="41" t="str">
        <x:v>https://wellcomelibrary.org/moh/report/b18018348</x:v>
      </x:c>
      <x:c r="K60" s="41" t="str">
        <x:v>data/moh_raw/Whitechapel_1893_b18018348_fulltext.txt</x:v>
      </x:c>
      <x:c r="L60" s="41" t="str">
        <x:v>It has been resolved that a memorial shall be presented to the London County Council, praying the Council to proceed with the Bell Lane area under Part I. of the Housing of the Working Classes Act, 1890. What the result of the memorial may be I cannot predict�but should it share the fate of the Board's former efforts in relation to the Bell Lane area it then remains for the Board�if it pleases to do so�to appeal to the Home Secretary, with whom rests the important question as to who shall bear the cost of the improvement. Lists of these places have, as usual, been included in this 15 Slaughter Houses, Cow Houses and Milk Shops. Report. The last-named list is very liable to constant alteration, and I shall feel obliged to those who can afford necessary information which will enable me to correct it from time to time. A copy of such information shall be forwarded to the London County Council, with whom rests the duty of licensing all slaughter-houses, cow-houses and milk shops.</x:v>
      </x:c>
    </x:row>
    <x:row r="61" ht="62" customHeight="1">
      <x:c r="A61" s="41" t="str">
        <x:v>1893_0031</x:v>
      </x:c>
      <x:c r="B61" s="41" t="n">
        <x:v>1893</x:v>
      </x:c>
      <x:c r="C61" s="41" t="n">
        <x:v>1894</x:v>
      </x:c>
      <x:c r="D61" s="41" t="str">
        <x:v>governance; sanitary</x:v>
      </x:c>
      <x:c r="E61" s="41" t="str">
        <x:v>governance: board, summonses | sanitary: drainage, sanitary</x:v>
      </x:c>
      <x:c r="F61" s="41" t="str">
        <x:v>No</x:v>
      </x:c>
      <x:c r="G61" s="41"/>
      <x:c r="H61" s="41" t="str">
        <x:v>No</x:v>
      </x:c>
      <x:c r="I61" s="41" t="str"/>
      <x:c r="J61" s="41" t="str">
        <x:v>https://wellcomelibrary.org/moh/report/b18018348</x:v>
      </x:c>
      <x:c r="K61" s="41" t="str">
        <x:v>data/moh_raw/Whitechapel_1893_b18018348_fulltext.txt</x:v>
      </x:c>
      <x:c r="L61" s="41" t="str">
        <x:v>In other cases where the adulteration is proved to be excessive, and no extenuating circumstances are present, the offender is summoned before a magistrate. I am sometimes questioned upon the number of prosecutions which take place under the various Acts of Parliament concerned in the sanitary work of the Board. It may prove interesting to 16 some if I include here a list of summonses which were issuec during the year 1893 Date. Offence. Result. January 24th Letting a house newly-built without a water certificate. Fined. � Underground room illegally occupied � March 17 th Sou pipe defective Sumns. withdn. � Underground room illegally occupied � June 22nd Non-completion of drainage works � July 3rd Selling rotten pineapples Dismissed � 4th � Fined �3rd Various sanitary defects Order made � 3rd � � � 3rd � � � �11th Selling rotten pineapples Fined September 14th � � pears � ,, 21st � � � Defdt. absnded. �22nd � bad fish Fined. � 22nd � � Dismissed �29th Exposing infected person in public street Fined October 6th Various sanitary defects. Withdrawn. November 14th Adulterating milk. Fined. December 6th Various sanitary defects. Withdrawn. � Letting new house without drainage thereto. Fined Although it is necessary now and again to thus deal with offenders, my experience harmonises with that in the history of the Board, that it is generally possible by judicious action to obtain even better results from friendly consultation than would be the case were prosecutions more frequent.</x:v>
      </x:c>
    </x:row>
    <x:row r="62" ht="62" customHeight="1">
      <x:c r="A62" s="41" t="str">
        <x:v>1893_0052</x:v>
      </x:c>
      <x:c r="B62" s="41" t="n">
        <x:v>1893</x:v>
      </x:c>
      <x:c r="C62" s="41" t="n">
        <x:v>1894</x:v>
      </x:c>
      <x:c r="D62" s="41" t="str">
        <x:v>governance; sanitary</x:v>
      </x:c>
      <x:c r="E62" s="41" t="str">
        <x:v>governance: summonses | sanitary: drainage</x:v>
      </x:c>
      <x:c r="F62" s="41" t="str">
        <x:v>No</x:v>
      </x:c>
      <x:c r="G62" s="41"/>
      <x:c r="H62" s="41" t="str">
        <x:v>No</x:v>
      </x:c>
      <x:c r="I62" s="41" t="str">
        <x:v>Spitalfields</x:v>
      </x:c>
      <x:c r="J62" s="41" t="str">
        <x:v>https://wellcomelibrary.org/moh/report/b18018348</x:v>
      </x:c>
      <x:c r="K62" s="41" t="str">
        <x:v>data/moh_raw/Whitechapel_1893_b18018348_fulltext.txt</x:v>
      </x:c>
      <x:c r="L62" s="41" t="str">
        <x:v>It will be seen from the said Statement that Drainage Works have been carried out in a very large number of premises, including "The Sailors' Home," "The Foundation School," "St. Mary's Schools, Church Passage, Spitalfields," "The Central Bank,'' and " The Whitechapel Church." Notwithstanding the large increase in the general work of the District we have been able to devote some attention to overlooking the workshops under the Order issued by the Home Secretary. Very great care and attention was paid during the year to the question of unwholesome food, and it will be seen that large quantities of various articles were seized and destroyed. In the main the Vendors were cautioned, but several summonses were issued resulting in fines and costs amounting to �8 11s. Last year we reported that 1153 cases of Infectious Disease had occurred, but this year we are sorry to have to report an increase of 230 cases, making the total for the year 1383 cases. Disinfection was promptly carried out in every instance. The insufficient Hospital accommodation during the Summer months, largely increased the work in this particular branch.</x:v>
      </x:c>
    </x:row>
    <x:row r="63" ht="62" customHeight="1">
      <x:c r="A63" s="41" t="str">
        <x:v>1893_0053</x:v>
      </x:c>
      <x:c r="B63" s="41" t="n">
        <x:v>1893</x:v>
      </x:c>
      <x:c r="C63" s="41" t="n">
        <x:v>1894</x:v>
      </x:c>
      <x:c r="D63" s="41" t="str">
        <x:v>sanitary</x:v>
      </x:c>
      <x:c r="E63" s="41" t="str">
        <x:v>sanitary: nuisance, sanitary</x:v>
      </x:c>
      <x:c r="F63" s="41" t="str">
        <x:v>No</x:v>
      </x:c>
      <x:c r="G63" s="41"/>
      <x:c r="H63" s="41" t="str">
        <x:v>No</x:v>
      </x:c>
      <x:c r="I63" s="41" t="str"/>
      <x:c r="J63" s="41" t="str">
        <x:v>https://wellcomelibrary.org/moh/report/b18018348</x:v>
      </x:c>
      <x:c r="K63" s="41" t="str">
        <x:v>data/moh_raw/Whitechapel_1893_b18018348_fulltext.txt</x:v>
      </x:c>
      <x:c r="L63" s="41" t="str">
        <x:v>We are, Sir Your obedient Servants, RICHARD SKIDMORE WRACK, THOS. P. WRACK, Sanitary GEORGE HARVEY, Inspectors. ALFRED COOK, 30th December, 1893. 38 LONDON COUNTY COUNCIL. Bye.-laws made by the London County Council under the Public Health (London) Act, 1891. Bye-laws under Section 16 (2). For prescribing the times for the removal or carriage by road or water of any faecal, or offensive or noxious matter or liquid in or through London, and providing that the carriage or vessel used therefore shall be properly constructed and covered so as to prevent the escape of any such matter or liquid, and as to prevent any nuisance arising therefrom. Faecal and offensive matter. 1. Every person who shall remove or carry by road or water in or through London any faecal or offensive or noxious matter or liquid, whether such matter or liquid shall be in course of removal or carriage from within or without or through London, shall not remove or carry such matter or liquid in or through London except between the hours of 4 o'clock and 10 o'clock in the forenoon during the months of March, April, May, June, July, August, September, and October, and except between the hours of 6 o'clock in the forenoon and 12 o'clock at noon during the months of November, December, January, and February.</x:v>
      </x:c>
    </x:row>
    <x:row r="64" ht="62" customHeight="1">
      <x:c r="A64" s="41" t="str">
        <x:v>1893_0054</x:v>
      </x:c>
      <x:c r="B64" s="41" t="n">
        <x:v>1893</x:v>
      </x:c>
      <x:c r="C64" s="41" t="n">
        <x:v>1894</x:v>
      </x:c>
      <x:c r="D64" s="41" t="str">
        <x:v>sanitary</x:v>
      </x:c>
      <x:c r="E64" s="41" t="str">
        <x:v>sanitary: drains, nuisance</x:v>
      </x:c>
      <x:c r="F64" s="41" t="str">
        <x:v>No</x:v>
      </x:c>
      <x:c r="G64" s="41"/>
      <x:c r="H64" s="41" t="str">
        <x:v>No</x:v>
      </x:c>
      <x:c r="I64" s="41" t="str"/>
      <x:c r="J64" s="41" t="str">
        <x:v>https://wellcomelibrary.org/moh/report/b18018348</x:v>
      </x:c>
      <x:c r="K64" s="41" t="str">
        <x:v>data/moh_raw/Whitechapel_1893_b18018348_fulltext.txt</x:v>
      </x:c>
      <x:c r="L64" s="41" t="str">
        <x:v>Such person shall use a suitable carriage or vessel properly constructed and furnished with a sufficient covering so as to prevent the escape of any such matter or liquid therefrom, and so as to prevent any nuisance arising therefrom. Provided that this bye-law shall not apply to the carriage of horse dung manure. Closing and filling up of cesspools and privies. As to the closing and filling up of cesspools and privies. 2. Any person who shall by any works or by any structural alteration of any premises render the further use of a cesspool or privy unnecessary, and the owner of any premises on which shall be situated a disused cesspool or privy, or a cesspool or privy which has become unnecessary, shall completely empty such cesspool or privy of all faecal or offensive matter which it may contain, and shall completely remove so much of the floor, walls and roof of such privy or cesspool as can safely be removed, and all pipes and drains leading thereto or therefrom, or connected therewith, and any earth or other material contaminated by such faecal or offensive matter.</x:v>
      </x:c>
    </x:row>
    <x:row r="65" ht="62" customHeight="1">
      <x:c r="A65" s="41" t="str">
        <x:v>1893_0055</x:v>
      </x:c>
      <x:c r="B65" s="41" t="n">
        <x:v>1893</x:v>
      </x:c>
      <x:c r="C65" s="41" t="n">
        <x:v>1894</x:v>
      </x:c>
      <x:c r="D65" s="41" t="str">
        <x:v>governance; sanitary</x:v>
      </x:c>
      <x:c r="E65" s="41" t="str">
        <x:v>governance: sanitary authority | sanitary: refuse</x:v>
      </x:c>
      <x:c r="F65" s="41" t="str">
        <x:v>No</x:v>
      </x:c>
      <x:c r="G65" s="41"/>
      <x:c r="H65" s="41" t="str">
        <x:v>No</x:v>
      </x:c>
      <x:c r="I65" s="41" t="str"/>
      <x:c r="J65" s="41" t="str">
        <x:v>https://wellcomelibrary.org/moh/report/b18018348</x:v>
      </x:c>
      <x:c r="K65" s="41" t="str">
        <x:v>data/moh_raw/Whitechapel_1893_b18018348_fulltext.txt</x:v>
      </x:c>
      <x:c r="L65" s="41" t="str">
        <x:v>He shall completely close and fill up the cesspool with good concrete or with suitable dry clean earth, dry clean brick rubbish, or other dry clean material, and where the walls of such cesspool shall not have been completely removed, he shall cover the surface of the space so filled up with earth, rubbish, or material, with a layer of good concrete six inches thick. . 39 3. Every person who shall propose to close or till up any cesspool or privy, shall before commencing any works for such purpose, give to the Sanitary Authority for the district not less than forty-eight hours notice in writing, exclusive of Sunday, Good Friday, Christmas Day, or any bank holiday, specifying the hour at which he will commence the closing and filling up of such cesspool or privy, and during the progress of any such work shall afford any officer of the Sanitary Authority free access to the premises for the purpose of inspecfting the same. As to the removal and disposal of refuse, and as to the duties of the occupier of any premises in connection with house refuse so as to facilitate the removal of it by the scavengers of the Sanitary Authority.</x:v>
      </x:c>
    </x:row>
    <x:row r="66" ht="62" customHeight="1">
      <x:c r="A66" s="41" t="str">
        <x:v>1893_0056</x:v>
      </x:c>
      <x:c r="B66" s="41" t="n">
        <x:v>1893</x:v>
      </x:c>
      <x:c r="C66" s="41" t="n">
        <x:v>1894</x:v>
      </x:c>
      <x:c r="D66" s="41" t="str">
        <x:v>governance; sanitary</x:v>
      </x:c>
      <x:c r="E66" s="41" t="str">
        <x:v>governance: sanitary authority | sanitary: filth, nuisance, refuse</x:v>
      </x:c>
      <x:c r="F66" s="41" t="str">
        <x:v>No</x:v>
      </x:c>
      <x:c r="G66" s="41"/>
      <x:c r="H66" s="41" t="str">
        <x:v>No</x:v>
      </x:c>
      <x:c r="I66" s="41" t="str"/>
      <x:c r="J66" s="41" t="str">
        <x:v>https://wellcomelibrary.org/moh/report/b18018348</x:v>
      </x:c>
      <x:c r="K66" s="41" t="str">
        <x:v>data/moh_raw/Whitechapel_1893_b18018348_fulltext.txt</x:v>
      </x:c>
      <x:c r="L66" s="41" t="str">
        <x:v>4. The occupier of any premises who shall remove or cause to be removed any refuse produced upon his premises shall not, in the process of removal, deposit such refuse, or cause or allow such refuse to be deposited upon any footway, pavement, or carriageway. Removal and disposal of refuse. Provided that this bye-law shall not be deemed to prohibit the occupier of any premises from depositing upon the kerbstone or upon the outer edge of the footpath immediately in front of his house, between such hours of the day as the Sanitarv Authority shall fix and notify by public announcement in their district, a proper receptacle containing house refuse, other than night soil or filth, to be removed by the Sanitary Authority in accordance with any bye-law in that behalf. 5. Every person who shall convey any house, trade or street refuse across or along any footway, pavement or carriageway shall use a suitable receptacle, cart, carriage, or other means of conveyance properly constructed so as to prevent the escape of the contents thereof, and in the case of offensive refuse so covered as to prevent any nuisance therefrom, and shall adopt such other precautions as may be necessary to prevent any such refuse from being slopped or spilled, or from falling in the process of removal upon such footway, pavement or carriageway.</x:v>
      </x:c>
    </x:row>
    <x:row r="67" ht="62" customHeight="1">
      <x:c r="A67" s="41" t="str">
        <x:v>1893_0057</x:v>
      </x:c>
      <x:c r="B67" s="41" t="n">
        <x:v>1893</x:v>
      </x:c>
      <x:c r="C67" s="41" t="n">
        <x:v>1894</x:v>
      </x:c>
      <x:c r="D67" s="41" t="str">
        <x:v>governance; sanitary</x:v>
      </x:c>
      <x:c r="E67" s="41" t="str">
        <x:v>governance: sanitary authority | sanitary: refuse, sanitary</x:v>
      </x:c>
      <x:c r="F67" s="41" t="str">
        <x:v>No</x:v>
      </x:c>
      <x:c r="G67" s="41"/>
      <x:c r="H67" s="41" t="str">
        <x:v>No</x:v>
      </x:c>
      <x:c r="I67" s="41" t="str"/>
      <x:c r="J67" s="41" t="str">
        <x:v>https://wellcomelibrary.org/moh/report/b18018348</x:v>
      </x:c>
      <x:c r="K67" s="41" t="str">
        <x:v>data/moh_raw/Whitechapel_1893_b18018348_fulltext.txt</x:v>
      </x:c>
      <x:c r="L67" s="41" t="str">
        <x:v>If in the process of such removal any such refuse be slopped, or spilled, or fall upon such footway, pavement or carriageway, such person shall forthwith remove such refuse from the place whereon the same may have been slopped or spilled, or may have fallen, and shall immediately thereafter thoroughly sweep or otherwise thoroughly cleanse such place. Daily removal of house refuse 6. Where a Sanitary Authority arrange for the daily removal of house refuse in their district or in any part thereof, the occupier of any premises in such district or part thereof on which any house refuse may from time to time accumulate shall, at such hour of the day as the Sanitary Authority shall fix and notify by public announcement in their district, deposit on the kerbstone or on the outer edge of the footpath immediately in front of the house or in a conveniently accessible position on the premises, as the Sanitary 40 Weekly removal of house refuse. Offensive refuse. Authority may prescribe by written notice served upon the occupier, a movable receptacle, in which shall be placed for the purposes of removal by or on behalf of the Sanitary Authority, the house refuse which has accumulated on such premises since the preceding collection by such authority.</x:v>
      </x:c>
    </x:row>
    <x:row r="68" ht="62" customHeight="1">
      <x:c r="A68" s="41" t="str">
        <x:v>1893_0059</x:v>
      </x:c>
      <x:c r="B68" s="41" t="n">
        <x:v>1893</x:v>
      </x:c>
      <x:c r="C68" s="41" t="n">
        <x:v>1894</x:v>
      </x:c>
      <x:c r="D68" s="41" t="str">
        <x:v>governance; sanitary</x:v>
      </x:c>
      <x:c r="E68" s="41" t="str">
        <x:v>governance: sanitary authority | sanitary: nuisance, refuse, water supply</x:v>
      </x:c>
      <x:c r="F68" s="41" t="str">
        <x:v>No</x:v>
      </x:c>
      <x:c r="G68" s="41"/>
      <x:c r="H68" s="41" t="str">
        <x:v>No</x:v>
      </x:c>
      <x:c r="I68" s="41" t="str"/>
      <x:c r="J68" s="41" t="str">
        <x:v>https://wellcomelibrary.org/moh/report/b18018348</x:v>
      </x:c>
      <x:c r="K68" s="41" t="str">
        <x:v>data/moh_raw/Whitechapel_1893_b18018348_fulltext.txt</x:v>
      </x:c>
      <x:c r="L68" s="41" t="str">
        <x:v>Provided (a) that this bye-law shall not apply in cases where the place of temporary deposit is distant at least one hundred yards from any street, and is distant at least three hundred yards from any building or premises used wholly or partly for human habitation, or as a school, or as a place of public worship or of public resort or public assembly, or from any building or premises in or on which any person may be employed in any manufacture, trade, or business, or from any public park or other open space dedicated or used for the purposes of recreation, or from any reservoir or stream used for the purposes of domestic water supply; (b) that this bye-law shall not prohibit the deposit, within the prescribed distances, of road slop unmixed with stable manure for any period not exceeding one week, which may be necessary for the separation of water therefrom. 9. Where a Sanitary Authority or some person on their behalf shall remove any offensive refuse from any street or premises within their district, such Sanitary Authority or such person shall properly destroy by fire or otherwise dispose of such refuse in such manner as to prevent nuisance.</x:v>
      </x:c>
    </x:row>
    <x:row r="69" ht="62" customHeight="1">
      <x:c r="A69" s="41" t="str">
        <x:v>1893_0060</x:v>
      </x:c>
      <x:c r="B69" s="41" t="n">
        <x:v>1893</x:v>
      </x:c>
      <x:c r="C69" s="41" t="n">
        <x:v>1894</x:v>
      </x:c>
      <x:c r="D69" s="41" t="str">
        <x:v>governance; sanitary</x:v>
      </x:c>
      <x:c r="E69" s="41" t="str">
        <x:v>governance: sanitary authority | sanitary: refuse, water supply</x:v>
      </x:c>
      <x:c r="F69" s="41" t="str">
        <x:v>No</x:v>
      </x:c>
      <x:c r="G69" s="41"/>
      <x:c r="H69" s="41" t="str">
        <x:v>No</x:v>
      </x:c>
      <x:c r="I69" s="41" t="str"/>
      <x:c r="J69" s="41" t="str">
        <x:v>https://wellcomelibrary.org/moh/report/b18018348</x:v>
      </x:c>
      <x:c r="K69" s="41" t="str">
        <x:v>data/moh_raw/Whitechapel_1893_b18018348_fulltext.txt</x:v>
      </x:c>
      <x:c r="L69" s="41" t="str">
        <x:v>Provided always that this bye law shall not be deemed to require or permit any Sanitary Authority or person to dispose of or destroy by fire any night-soil, swine's-dung or cow-dung. 10. A Sanitary Authority or any person on their behalf who shall remove any offensive refuse from any street or premises within their district shall not deposit such refuse, otherwise than in the course of removal, at a less distance than three hundred yards from any two of more buildings used wholly or partly for human habitation or from any building used as a school, or as a place of public resort or public assembly, or in which any person may be employed in any manufacture, trade or business, or from any public park or other open space dedicated or used for the 41 purpose of recreation, or from any reservoir or stream used for the purposes of domestic water supply. Provided always that this bye-law shall not be deemed to prohibit such deposit of such refuse for a period of twenty-four hours, when such refuse is deposited for the purpose of being destroyed by fire, in accordance with any bye-law in that behalf.</x:v>
      </x:c>
    </x:row>
    <x:row r="70" ht="62" customHeight="1">
      <x:c r="A70" s="41" t="str">
        <x:v>1893_0061</x:v>
      </x:c>
      <x:c r="B70" s="41" t="n">
        <x:v>1893</x:v>
      </x:c>
      <x:c r="C70" s="41" t="n">
        <x:v>1894</x:v>
      </x:c>
      <x:c r="D70" s="41" t="str">
        <x:v>governance; sanitary</x:v>
      </x:c>
      <x:c r="E70" s="41" t="str">
        <x:v>governance: local government board, sanitary authority | sanitary: refuse</x:v>
      </x:c>
      <x:c r="F70" s="41" t="str">
        <x:v>No</x:v>
      </x:c>
      <x:c r="G70" s="41"/>
      <x:c r="H70" s="41" t="str">
        <x:v>No</x:v>
      </x:c>
      <x:c r="I70" s="41" t="str"/>
      <x:c r="J70" s="41" t="str">
        <x:v>https://wellcomelibrary.org/moh/report/b18018348</x:v>
      </x:c>
      <x:c r="K70" s="41" t="str">
        <x:v>data/moh_raw/Whitechapel_1893_b18018348_fulltext.txt</x:v>
      </x:c>
      <x:c r="L70" s="41" t="str">
        <x:v>11 For the purposes of the foregoing bye-laws the expression "offensive refuse" means any refuse, whether "house refuse,'' "trade refuse," or "street refuse," in such a condition as to be or to be liable to become offensive. Penalties Penalties. 12. Every person who shall offend against any of the foregoing bye-laws shall be liable for every such offence to a penalty of five pounds, and in the case of a continuing offence to a further penalty of forty shillings for each day after written notice of the offence from the Sanitary Authority. Provided nevertheless that the Court before whom any complaint may be made, or any proceedings may be taken in respect of any such offence, may, if the Court think fit, adjudge the payment as a penalty of any sum less than the full amount of the penalty imposed by this bye-law. The seal of the London County Council was hereunto affixed on the 22nd day of June, 1893. De la Hooke,Clerk of the Council. L.S Allowed by the Local Government Board this twenty-eighth day of June, 1893.</x:v>
      </x:c>
    </x:row>
    <x:row r="71" ht="62" customHeight="1">
      <x:c r="A71" s="41" t="str">
        <x:v>1893_0065</x:v>
      </x:c>
      <x:c r="B71" s="41" t="n">
        <x:v>1893</x:v>
      </x:c>
      <x:c r="C71" s="41" t="n">
        <x:v>1894</x:v>
      </x:c>
      <x:c r="D71" s="41" t="str">
        <x:v>sanitary</x:v>
      </x:c>
      <x:c r="E71" s="41" t="str">
        <x:v>sanitary: filth</x:v>
      </x:c>
      <x:c r="F71" s="41" t="str">
        <x:v>No</x:v>
      </x:c>
      <x:c r="G71" s="41"/>
      <x:c r="H71" s="41" t="str">
        <x:v>No</x:v>
      </x:c>
      <x:c r="I71" s="41" t="str"/>
      <x:c r="J71" s="41" t="str">
        <x:v>https://wellcomelibrary.org/moh/report/b18018348</x:v>
      </x:c>
      <x:c r="K71" s="41" t="str">
        <x:v>data/moh_raw/Whitechapel_1893_b18018348_fulltext.txt</x:v>
      </x:c>
      <x:c r="L71" s="41" t="str">
        <x:v>Provided always that the foregoing requirement shall be deemed to be complied with in any case where the apparatus of a watercloset is connected for the purpose of flushing with a cistern of adequate capacity which is used solely for flushing waterclosets or urinals. He shall construct or fix the pipe and union connecting such flushing cistern with the pan, basil, or other receptacle with which such watercloset may be provided, so that such pipe and union shall not in any part have an internal diameter of less than one inch and a quarter. He shall furnish such watercloset with a suitable apparatus for the effectual applicatiou of water to any pan, basin, or other receptacle with which such apparatus may be connected and used, and for the effectual flushing and cleansing of such pan, basin, or other receptacle, and for the prompt and effectual removal therefrom and from the trap connected therewith of any solid or liquid filth which may from time be deposited therein. He shall furnish such watercloset with a pan, basin or other suitable receptacle of non-absorbent material, and of such shape, of such capacity, and of such mode of construction as to receive and contain a sufficient quantity of water, and to allow all filth which may from time to time be deposited in such pan, basin, or receptacle, to fall free of the sides thereof and directly into the water received and contained in such pan, basin, or receptacle.</x:v>
      </x:c>
    </x:row>
    <x:row r="72" ht="62" customHeight="1">
      <x:c r="A72" s="41" t="str">
        <x:v>1893_0066</x:v>
      </x:c>
      <x:c r="B72" s="41" t="n">
        <x:v>1893</x:v>
      </x:c>
      <x:c r="C72" s="41" t="n">
        <x:v>1894</x:v>
      </x:c>
      <x:c r="D72" s="41" t="str">
        <x:v>sanitary</x:v>
      </x:c>
      <x:c r="E72" s="41" t="str">
        <x:v>sanitary: drain</x:v>
      </x:c>
      <x:c r="F72" s="41" t="str">
        <x:v>No</x:v>
      </x:c>
      <x:c r="G72" s="41"/>
      <x:c r="H72" s="41" t="str">
        <x:v>No</x:v>
      </x:c>
      <x:c r="I72" s="41" t="str"/>
      <x:c r="J72" s="41" t="str">
        <x:v>https://wellcomelibrary.org/moh/report/b18018348</x:v>
      </x:c>
      <x:c r="K72" s="41" t="str">
        <x:v>data/moh_raw/Whitechapel_1893_b18018348_fulltext.txt</x:v>
      </x:c>
      <x:c r="L72" s="41" t="str">
        <x:v>He shall not construct or fix under such pan, basin or receptacle, any "container" or other similar fitting. He shall construct or fix immediately beneath or in connection with such pan, basin, or other suitable receptacle, an efficient siphon trap, so constructed that it shall at all times maintain a sufficient water seal between such pan, basin, or other suitable 44 Soil pipes. receptacle and any drain or soil pipe in connection therewith. He shall not construct or fix in or in connection with the watercloset apparatus any D trap or other similar trap. If he shall construct any watercloset or shall fix or fit any trap to any existing watercloset or in connection with a soil pipe, which is itself in connection with any other watercloset, he shall cause the trap of every such watercloset to be ventilated into the open air at a point as high as the top of the soil pipe, or into the soil pipe at a point above the highest watercloset connected with such soil pipe, and so that such ventilating pipe shall have in all parts an internal diameter of not less than two inches, and shall be connected with the arm of the soil pipe at a point not less than three and not more than twelve inches from the highest part of the trap and on that side of the water seal which is nearest to the soil pipe.</x:v>
      </x:c>
    </x:row>
    <x:row r="73" ht="62" customHeight="1">
      <x:c r="A73" s="41" t="str">
        <x:v>1893_0069</x:v>
      </x:c>
      <x:c r="B73" s="41" t="n">
        <x:v>1893</x:v>
      </x:c>
      <x:c r="C73" s="41" t="n">
        <x:v>1894</x:v>
      </x:c>
      <x:c r="D73" s="41" t="str">
        <x:v>sanitary</x:v>
      </x:c>
      <x:c r="E73" s="41" t="str">
        <x:v>sanitary: drain</x:v>
      </x:c>
      <x:c r="F73" s="41" t="str">
        <x:v>No</x:v>
      </x:c>
      <x:c r="G73" s="41"/>
      <x:c r="H73" s="41" t="str">
        <x:v>No</x:v>
      </x:c>
      <x:c r="I73" s="41" t="str"/>
      <x:c r="J73" s="41" t="str">
        <x:v>https://wellcomelibrary.org/moh/report/b18018348</x:v>
      </x:c>
      <x:c r="K73" s="41" t="str">
        <x:v>data/moh_raw/Whitechapel_1893_b18018348_fulltext.txt</x:v>
      </x:c>
      <x:c r="L73" s="41" t="str">
        <x:v>In all such cases where he shall connect a lead trap or pipe with an iron soil pipe or drain he shall insert between such trap 45 Waterclosets. or pipe and such soil pipe or drain a brass thimble, and he shall connect such lead trap or pipe with such thimble by means of a wiped or over-cast joint, and he shall connect such thimble with the iron soil pipe or drain by means of a joint made with molten lead, properly caulked. In all such cases where he shall connect a stoneware trap or pipe with a lead soil pipe, he shall insert between such stoneware trap or pipe and such soil pipe a brass socket or other similar appliance, and he shall connect such stoneware trap or pipe by inserting it into such socket, making the joint with Portland cement, and he shall connect such socket with the lead soil pipe, by means of a wiped or overcast joint. In all cases where he shall connect a stoneware trap or pipe with an iron soil pipe or drain, he shall insert such stoneware trap or pipe into a socket on such iron soil pipe or drain, making the joint with Portland cement.</x:v>
      </x:c>
    </x:row>
    <x:row r="74" ht="62" customHeight="1">
      <x:c r="A74" s="41" t="str">
        <x:v>1893_0070</x:v>
      </x:c>
      <x:c r="B74" s="41" t="n">
        <x:v>1893</x:v>
      </x:c>
      <x:c r="C74" s="41" t="n">
        <x:v>1894</x:v>
      </x:c>
      <x:c r="D74" s="41" t="str">
        <x:v>sanitary</x:v>
      </x:c>
      <x:c r="E74" s="41" t="str">
        <x:v>sanitary: drain, filth</x:v>
      </x:c>
      <x:c r="F74" s="41" t="str">
        <x:v>No</x:v>
      </x:c>
      <x:c r="G74" s="41"/>
      <x:c r="H74" s="41" t="str">
        <x:v>No</x:v>
      </x:c>
      <x:c r="I74" s="41" t="str"/>
      <x:c r="J74" s="41" t="str">
        <x:v>https://wellcomelibrary.org/moh/report/b18018348</x:v>
      </x:c>
      <x:c r="K74" s="41" t="str">
        <x:v>data/moh_raw/Whitechapel_1893_b18018348_fulltext.txt</x:v>
      </x:c>
      <x:c r="L74" s="41" t="str">
        <x:v>He shall so construct such soil pipe that it shall not be directly connected with the waste of any bath, rain-water pipe, or of any sink other than that which is provided for the reception of urine or other excremental filth, and he shall construct such soil pipe so that there shall not be any trap in such soil pipe or between the soil pipe and any drain with which it is connected. 5. A person who shall newly fit or fix any apparatus in connection with any existing watercloset, shall as regards such apparatus and its connection with any soil pipe or drain, comply with such of the requirements of the foregoing bye-laws as would be applicable to the apparatus so fitted or fixed if the watercloset were being newly constructed. Earthclosets. 6. Every person who shall construct an earthcloset in connection with a building shall furnish such earthcloset with a reservoir or receptacle, of suitable construction and of adequate capacity, for dry earth, and he shall construct and fix such reservoir or receptacle in such a manner and in such a position as to admit of ready access to such reservoir or receptacle for the purpose of depositing therein the necessary supply of dry earth.</x:v>
      </x:c>
    </x:row>
    <x:row r="75" ht="62" customHeight="1">
      <x:c r="A75" s="41" t="str">
        <x:v>1893_0071</x:v>
      </x:c>
      <x:c r="B75" s="41" t="n">
        <x:v>1893</x:v>
      </x:c>
      <x:c r="C75" s="41" t="n">
        <x:v>1894</x:v>
      </x:c>
      <x:c r="D75" s="41" t="str">
        <x:v>sanitary</x:v>
      </x:c>
      <x:c r="E75" s="41" t="str">
        <x:v>sanitary: drainage, filth, refuse</x:v>
      </x:c>
      <x:c r="F75" s="41" t="str">
        <x:v>No</x:v>
      </x:c>
      <x:c r="G75" s="41"/>
      <x:c r="H75" s="41" t="str">
        <x:v>No</x:v>
      </x:c>
      <x:c r="I75" s="41" t="str"/>
      <x:c r="J75" s="41" t="str">
        <x:v>https://wellcomelibrary.org/moh/report/b18018348</x:v>
      </x:c>
      <x:c r="K75" s="41" t="str">
        <x:v>data/moh_raw/Whitechapel_1893_b18018348_fulltext.txt</x:v>
      </x:c>
      <x:c r="L75" s="41" t="str">
        <x:v>He shall construct or fix in connection with such reservoir or receptacle suitable means or apparatus for the frequent and effectual application of a sufficient quantity of dry earth to any filth which may from time to time be deposited in any receptacle for filth constructed, fitted, or used, in or in connection with such earthcloset. He shall construct such earthcloset so that the contents of such reservoir or receptacle may not at any time be exposed to any rainfall or to the drainage of any waste water or liquid refuse from any premises. 7. Every person who shall construct an earthcloset in connection with a building shall construct such earthcloset for use in combination with a movable receptacle for filth. He shall construct such earthcloset so as to admit of a movable receptacle for filth, of a capacity not exceeding two cubic feet, being placed and fitted beneath the seat in such a manner 46 Privies. and in such a position as may effectually prevent the deposit upon the floor or sides of the space beneath such seat, or elsewhere than in such receptacle, of any filth which may from time to time fall or be cast through the aperture in such seat.</x:v>
      </x:c>
    </x:row>
    <x:row r="76" ht="62" customHeight="1">
      <x:c r="A76" s="41" t="str">
        <x:v>1893_0072</x:v>
      </x:c>
      <x:c r="B76" s="41" t="n">
        <x:v>1893</x:v>
      </x:c>
      <x:c r="C76" s="41" t="n">
        <x:v>1894</x:v>
      </x:c>
      <x:c r="D76" s="41" t="str">
        <x:v>sanitary</x:v>
      </x:c>
      <x:c r="E76" s="41" t="str">
        <x:v>sanitary: drainage, filth, refuse</x:v>
      </x:c>
      <x:c r="F76" s="41" t="str">
        <x:v>No</x:v>
      </x:c>
      <x:c r="G76" s="41"/>
      <x:c r="H76" s="41" t="str">
        <x:v>No</x:v>
      </x:c>
      <x:c r="I76" s="41" t="str"/>
      <x:c r="J76" s="41" t="str">
        <x:v>https://wellcomelibrary.org/moh/report/b18018348</x:v>
      </x:c>
      <x:c r="K76" s="41" t="str">
        <x:v>data/moh_raw/Whitechapel_1893_b18018348_fulltext.txt</x:v>
      </x:c>
      <x:c r="L76" s="41" t="str">
        <x:v>He shall construct such receptacle for filth in such a manner and in such a position as to admit of the frequent and effectual application of a sufficient quantity of dry earth to any filth which may be from time to time deposited in such receptacle for filth, and in such a manner and in such a position as to admit of ready access for the purpose of removing the contents thereof. He shall also construct such earthcloset so that the contents of such receptacle for filth may not at any time be exposed to any rainfall or the drainage of any waste water or liquid refuse from any premises. 8. Every person who shall construct a privy in connection with a building shall construct such privy at a distance of twenty feet at the least from a dwelling-house, or public building, or any building in which any person may be or may be intended to be employed in any manufacture, trade, or business. 9. A person who shall construct a privy in connection with a building shall not construct such privy within the distance of one hundred feet from any well, spring, or stream of water used, or likely to be used, by man for drinking or domestic purposes, or for manufacturing drinks for the use of man, or otherwise in such a position as to render any such water liable to pollution.</x:v>
      </x:c>
    </x:row>
    <x:row r="77" ht="62" customHeight="1">
      <x:c r="A77" s="41" t="str">
        <x:v>1893_0073</x:v>
      </x:c>
      <x:c r="B77" s="41" t="n">
        <x:v>1893</x:v>
      </x:c>
      <x:c r="C77" s="41" t="n">
        <x:v>1894</x:v>
      </x:c>
      <x:c r="D77" s="41" t="str">
        <x:v>sanitary</x:v>
      </x:c>
      <x:c r="E77" s="41" t="str">
        <x:v>sanitary: filth</x:v>
      </x:c>
      <x:c r="F77" s="41" t="str">
        <x:v>No</x:v>
      </x:c>
      <x:c r="G77" s="41"/>
      <x:c r="H77" s="41" t="str">
        <x:v>No</x:v>
      </x:c>
      <x:c r="I77" s="41" t="str"/>
      <x:c r="J77" s="41" t="str">
        <x:v>https://wellcomelibrary.org/moh/report/b18018348</x:v>
      </x:c>
      <x:c r="K77" s="41" t="str">
        <x:v>data/moh_raw/Whitechapel_1893_b18018348_fulltext.txt</x:v>
      </x:c>
      <x:c r="L77" s="41" t="str">
        <x:v>10. Every person who shall construct a privy in connection with a building shall construct such privy in such a manner and in such a position as to afford ready means of access to such privy, for the purpose of cleansing such privy and of removing filth therefrom, and in such a manner and in such a position as to admit all filth being removed from such privy, and from the premises to which such privy may belong, without being carried through any dwelling-house, or public building, or any building in which any person may be or may be intended to be employed in any manufacture, trade or business. 11. Every person who shall construct a privy in connection with a building, shall provide such privy with a sufficient opening for ventilation as near to the top as practicable and communicating directly with the external air. He shall cause the floor of such privy to be flagged or paved with hard tiles or other non-absorbent material, and he shall construct such floor so that it shall be in every part thereof at a height of not less than six inches above the level of the surface of the ground adjoining such privy, and so that such floor shall have a fall or inclination towards the door of such privy of half an inch to the foot.</x:v>
      </x:c>
    </x:row>
    <x:row r="78" ht="62" customHeight="1">
      <x:c r="A78" s="41" t="str">
        <x:v>1893_0074</x:v>
      </x:c>
      <x:c r="B78" s="41" t="n">
        <x:v>1893</x:v>
      </x:c>
      <x:c r="C78" s="41" t="n">
        <x:v>1894</x:v>
      </x:c>
      <x:c r="D78" s="41" t="str">
        <x:v>sanitary</x:v>
      </x:c>
      <x:c r="E78" s="41" t="str">
        <x:v>sanitary: filth</x:v>
      </x:c>
      <x:c r="F78" s="41" t="str">
        <x:v>No</x:v>
      </x:c>
      <x:c r="G78" s="41"/>
      <x:c r="H78" s="41" t="str">
        <x:v>No</x:v>
      </x:c>
      <x:c r="I78" s="41" t="str"/>
      <x:c r="J78" s="41" t="str">
        <x:v>https://wellcomelibrary.org/moh/report/b18018348</x:v>
      </x:c>
      <x:c r="K78" s="41" t="str">
        <x:v>data/moh_raw/Whitechapel_1893_b18018348_fulltext.txt</x:v>
      </x:c>
      <x:c r="L78" s="41" t="str">
        <x:v>12. Every person who shall construct a privy in connection with a building shall construct such privy for use in combination with a movable receptacle for filth, and shall construct over the whole area of the space immediately beneath the seat of such privy a floor of flagging or asphalte or some suitable composite material, 47 at a height of not less than three inches above the level of the surface of the ground adjoining such privy ; and he shall cause the whole extent of each side of such space between the floor and the seat, other than any part that may be occupied by any door or other opening therein, to be constructed of flagging, slate, or good brickwork, at least nine inches thick, and rendered in good cement or asphalted. He shall construct the seat of such privy, the aperture in such seat, and the space beneath such seat, of such dimensions as to admit of a movable receptacle for filth of a capacity not exceeding two cubic feet being placed and fitted beneath such seat in such a manner and in such a position as may effectually prevent the deposit upon the floor or sides of the space beneath such seat or elsewhere than in such receptacle, of any filth which may from time to time fall or be cast through the aperture in such seat.</x:v>
      </x:c>
    </x:row>
    <x:row r="79" ht="62" customHeight="1">
      <x:c r="A79" s="41" t="str">
        <x:v>1893_0075</x:v>
      </x:c>
      <x:c r="B79" s="41" t="n">
        <x:v>1893</x:v>
      </x:c>
      <x:c r="C79" s="41" t="n">
        <x:v>1894</x:v>
      </x:c>
      <x:c r="D79" s="41" t="str">
        <x:v>governance; sanitary</x:v>
      </x:c>
      <x:c r="E79" s="41" t="str">
        <x:v>governance: sanitary authority | sanitary: drain, filth</x:v>
      </x:c>
      <x:c r="F79" s="41" t="str">
        <x:v>No</x:v>
      </x:c>
      <x:c r="G79" s="41"/>
      <x:c r="H79" s="41" t="str">
        <x:v>No</x:v>
      </x:c>
      <x:c r="I79" s="41" t="str"/>
      <x:c r="J79" s="41" t="str">
        <x:v>https://wellcomelibrary.org/moh/report/b18018348</x:v>
      </x:c>
      <x:c r="K79" s="41" t="str">
        <x:v>data/moh_raw/Whitechapel_1893_b18018348_fulltext.txt</x:v>
      </x:c>
      <x:c r="L79" s="41" t="str">
        <x:v>He shall construct such privy so that for the purpose of cleansing the space beneath the seat, or of removing therefrom or placing or fitting therein an appropriate receptacle for filth, there shall be a door or other opening in the back or one of the sides thereof capable of being opened from the outside of the privy, or in any case where such a mode of construction may be impracticable, so that for the purposes aforesaid the whole of the seat of the privy or a sufficient part thereof may be readily moved or adjusted. 13. A person who shall construct a privy in connection with a building shall not cause or suffer any part of the space under the seat of such privy, or any part of any receptacle for filth in or in connection with such privy, to communicate with any drain. Waterclosets, earthclosets and privies. 14. Every person who shall intend to construct any watercloset, earthcloset, or privy, or to fit or fix in or in connection with any watercloset, earthcloset, or privy any apparatus or any trap or soil pipe, shall before executing any such works, give notice in writing to the clerk of the Sanitary Authority.</x:v>
      </x:c>
    </x:row>
    <x:row r="80" ht="62" customHeight="1">
      <x:c r="A80" s="41" t="str">
        <x:v>1893_0076</x:v>
      </x:c>
      <x:c r="B80" s="41" t="n">
        <x:v>1893</x:v>
      </x:c>
      <x:c r="C80" s="41" t="n">
        <x:v>1894</x:v>
      </x:c>
      <x:c r="D80" s="41" t="str">
        <x:v>sanitary</x:v>
      </x:c>
      <x:c r="E80" s="41" t="str">
        <x:v>sanitary: refuse</x:v>
      </x:c>
      <x:c r="F80" s="41" t="str">
        <x:v>No</x:v>
      </x:c>
      <x:c r="G80" s="41"/>
      <x:c r="H80" s="41" t="str">
        <x:v>No</x:v>
      </x:c>
      <x:c r="I80" s="41" t="str"/>
      <x:c r="J80" s="41" t="str">
        <x:v>https://wellcomelibrary.org/moh/report/b18018348</x:v>
      </x:c>
      <x:c r="K80" s="41" t="str">
        <x:v>data/moh_raw/Whitechapel_1893_b18018348_fulltext.txt</x:v>
      </x:c>
      <x:c r="L80" s="41" t="str">
        <x:v>Earth closets and Privies. 15. Every owner of an earthcloset or privy existing at the date of the confirmation of these bye-laws shall, before the expiration of six months from and after such date of confirmation, cause the same to be reconstructed in such manner that its position, structure and apparatus shall comply with such of the requirements of the foregoing bye-laws as are applicable to earthclosets or privies newly constructed. Ashpits. 16. When any person shall provide an ashpit in connection with a building, he shall cause the same to consist of one or more movable receptacles sufficient to contain the house refuse which may accumulate during any period not exceeding one week. Each of such receptacles shall be constructed of metal and shall be provided with one or more suitable handles and cover. The capacity of each of such receptacles shall not exceed two cubic feet. Provided that the requirement as to the size of each of such receptacles shall not apply to any person who shall construct such receptacle or receptacles in connection with any premises to which there is attached as part of the conditions of tenancy the 48 Cesspools right to dispose of house refuse in an ashpit used in common by the occupiers of several tenancies, but in no case shall such ashpit be of greater capacity than is required to enable it to contain the refuse which may accumulate during any period not exceeding one week.</x:v>
      </x:c>
    </x:row>
    <x:row r="81" ht="62" customHeight="1">
      <x:c r="A81" s="41" t="str">
        <x:v>1893_0077</x:v>
      </x:c>
      <x:c r="B81" s="41" t="n">
        <x:v>1893</x:v>
      </x:c>
      <x:c r="C81" s="41" t="n">
        <x:v>1894</x:v>
      </x:c>
      <x:c r="D81" s="41" t="str">
        <x:v>governance; sanitary</x:v>
      </x:c>
      <x:c r="E81" s="41" t="str">
        <x:v>governance: sanitary authority | sanitary: refuse</x:v>
      </x:c>
      <x:c r="F81" s="41" t="str">
        <x:v>No</x:v>
      </x:c>
      <x:c r="G81" s="41"/>
      <x:c r="H81" s="41" t="str">
        <x:v>No</x:v>
      </x:c>
      <x:c r="I81" s="41" t="str"/>
      <x:c r="J81" s="41" t="str">
        <x:v>https://wellcomelibrary.org/moh/report/b18018348</x:v>
      </x:c>
      <x:c r="K81" s="41" t="str">
        <x:v>data/moh_raw/Whitechapel_1893_b18018348_fulltext.txt</x:v>
      </x:c>
      <x:c r="L81" s="41" t="str">
        <x:v>17. The occupier of any premises who shall use any ashpit shall, if such ashpit consist of a movable receptacle, cause such receptacle to be kept in a covered place, or to be properly covered, so that it shall not be exposed to rainfall, and if such ashpit consist of a fixed receptacle, he shall cause the same to be kept properly covered. 18. Where the Sanitary Authority have arranged for the daily removal of house refuse in their district, or in any part thereof, the owner of any premises in such district or part thereof shall provide an ashpit which shall consist of one or more movable receptacles, sufficient to contain the house refuse which may accumulate during any period not exceeding three days, which the Sanitary Authority may determine, and of which the Sanitary Authority shall give notice by public announcement in their district. Each of such receptacles shall be constructed of metal, and provided with one or more suitable handles and cover. The capacity of each of such receptacles shall not exceed two cubic feet.</x:v>
      </x:c>
    </x:row>
    <x:row r="82" ht="62" customHeight="1">
      <x:c r="A82" s="41" t="str">
        <x:v>1893_0078</x:v>
      </x:c>
      <x:c r="B82" s="41" t="n">
        <x:v>1893</x:v>
      </x:c>
      <x:c r="C82" s="41" t="n">
        <x:v>1894</x:v>
      </x:c>
      <x:c r="D82" s="41" t="str">
        <x:v>governance; sanitary</x:v>
      </x:c>
      <x:c r="E82" s="41" t="str">
        <x:v>governance: sanitary authority | sanitary: refuse</x:v>
      </x:c>
      <x:c r="F82" s="41" t="str">
        <x:v>No</x:v>
      </x:c>
      <x:c r="G82" s="41"/>
      <x:c r="H82" s="41" t="str">
        <x:v>No</x:v>
      </x:c>
      <x:c r="I82" s="41" t="str"/>
      <x:c r="J82" s="41" t="str">
        <x:v>https://wellcomelibrary.org/moh/report/b18018348</x:v>
      </x:c>
      <x:c r="K82" s="41" t="str">
        <x:v>data/moh_raw/Whitechapel_1893_b18018348_fulltext.txt</x:v>
      </x:c>
      <x:c r="L82" s="41" t="str">
        <x:v>Provided always that this bye-law shall not apply to the owner of any premises until expiration of three months after the Sanitary Authority have publicly notified their intention to adopt a system of daily collection of house refuse in that part of their district which comprises such premises. 19. Where any receptacle shall have been provided as an ashpit for any premises in pursuance of any bye-law in that behalf, no person shall deposit the house refuse which may accumulate on such premises in any ashpit that does not comply with the requirements of these bye-laws. 20. Every person who shall construct a cesspool in connection with a building, shall construct such cesspool at a distance of one hundred feet at the least from a dwelling-house, or public building, or any building in which any person may be, or may be intended to be, employed in any manufacture, trade, or business. 21. A person who shall construct a cesspool in connection with a building shall not construct such cesspool within the distance of one hundred feet from any well, spring, or stream of water.</x:v>
      </x:c>
    </x:row>
    <x:row r="83" ht="62" customHeight="1">
      <x:c r="A83" s="41" t="str">
        <x:v>1893_0079</x:v>
      </x:c>
      <x:c r="B83" s="41" t="n">
        <x:v>1893</x:v>
      </x:c>
      <x:c r="C83" s="41" t="n">
        <x:v>1894</x:v>
      </x:c>
      <x:c r="D83" s="41" t="str">
        <x:v>sanitary</x:v>
      </x:c>
      <x:c r="E83" s="41" t="str">
        <x:v>sanitary: drain, sewer</x:v>
      </x:c>
      <x:c r="F83" s="41" t="str">
        <x:v>No</x:v>
      </x:c>
      <x:c r="G83" s="41"/>
      <x:c r="H83" s="41" t="str">
        <x:v>No</x:v>
      </x:c>
      <x:c r="I83" s="41" t="str"/>
      <x:c r="J83" s="41" t="str">
        <x:v>https://wellcomelibrary.org/moh/report/b18018348</x:v>
      </x:c>
      <x:c r="K83" s="41" t="str">
        <x:v>data/moh_raw/Whitechapel_1893_b18018348_fulltext.txt</x:v>
      </x:c>
      <x:c r="L83" s="41" t="str">
        <x:v>22. Every person who shall construct a cesspool in connection with a building, shall construct such cesspool in such a manner and in such a position as to afford ready means of access to such cesspool, for the purpose of cleansing such cesspool, and of removing the contents thereof, and in such a manner and in such a position as to admit of the contents of such cesspool being removed therefrom, and from the premises to which such cesspool may belong, without being carried through any dwelling-house, or public building, or any building in which any person may be, or may be intended to be, employed in any manufacture, trade or business. 49 Receptacles for dung. He shall not in any case construct such cesspool so that it shall have, by drain or otherwise, any means of communication with any sewer or any overflow outlet. 23. Every person who shall construct a cesspool in connection with a building, shall construct such cesspool of good brickwork bedded and grouted in cement, properly rendered inside with cement, and with a backing of at least nine inches of well-puddled clay around and beneath such brickwork, and so that such cesspool shall be perfectly watertight.</x:v>
      </x:c>
    </x:row>
    <x:row r="84" ht="62" customHeight="1">
      <x:c r="A84" s="41" t="str">
        <x:v>1893_0080</x:v>
      </x:c>
      <x:c r="B84" s="41" t="n">
        <x:v>1893</x:v>
      </x:c>
      <x:c r="C84" s="41" t="n">
        <x:v>1894</x:v>
      </x:c>
      <x:c r="D84" s="41" t="str">
        <x:v>sanitary</x:v>
      </x:c>
      <x:c r="E84" s="41" t="str">
        <x:v>sanitary: nuisance</x:v>
      </x:c>
      <x:c r="F84" s="41" t="str">
        <x:v>No</x:v>
      </x:c>
      <x:c r="G84" s="41"/>
      <x:c r="H84" s="41" t="str">
        <x:v>No</x:v>
      </x:c>
      <x:c r="I84" s="41" t="str"/>
      <x:c r="J84" s="41" t="str">
        <x:v>https://wellcomelibrary.org/moh/report/b18018348</x:v>
      </x:c>
      <x:c r="K84" s="41" t="str">
        <x:v>data/moh_raw/Whitechapel_1893_b18018348_fulltext.txt</x:v>
      </x:c>
      <x:c r="L84" s="41" t="str">
        <x:v>He shall also cause such cesspool to be arched or otherwise properly covered over, and to be provided with adequate means of ventilation. 24. A person shall not use as a receptacle for dung any receptacle so constructed or placed that one of its sides shall be formed by the wall of any room used for human habitation, or under a dwelling-house, factory, workshop or workplace, and he shall not use any receptacle in such a situation that it would be likely to cause a nuisance or become injurious or dangerous to health. 25. Every owner of any existing receptacle for dung shall, before the expiration of six months from the date of the confirmation of these bye-laws, and every person who shall construct a receptacle for dung, shall cause such receptacle to be so constructed that its capacity shall not be greater than two cubic yards, and so that the bottom or floor thereof shall not, in any case, be lower than the surface of the ground adjoining such receptacle. He shall so construct such receptacle that a sufficient part of one of its sides shall be readily removable for the purpose of facilitating cleansing.</x:v>
      </x:c>
    </x:row>
    <x:row r="85" ht="62" customHeight="1">
      <x:c r="A85" s="41" t="str">
        <x:v>1893_0083</x:v>
      </x:c>
      <x:c r="B85" s="41" t="n">
        <x:v>1893</x:v>
      </x:c>
      <x:c r="C85" s="41" t="n">
        <x:v>1894</x:v>
      </x:c>
      <x:c r="D85" s="41" t="str">
        <x:v>inequality</x:v>
      </x:c>
      <x:c r="E85" s="41" t="str">
        <x:v>inequality: lodgers</x:v>
      </x:c>
      <x:c r="F85" s="41" t="str">
        <x:v>Yes</x:v>
      </x:c>
      <x:c r="G85" s="41"/>
      <x:c r="H85" s="41" t="str">
        <x:v>No</x:v>
      </x:c>
      <x:c r="I85" s="41" t="str"/>
      <x:c r="J85" s="41" t="str">
        <x:v>https://wellcomelibrary.org/moh/report/b18018348</x:v>
      </x:c>
      <x:c r="K85" s="41" t="str">
        <x:v>data/moh_raw/Whitechapel_1893_b18018348_fulltext.txt</x:v>
      </x:c>
      <x:c r="L85" s="41" t="str">
        <x:v>The occupier of any premises shall once at least in every week cause every earthcloset, privy and receptacle for dung belonging to such premises to be emptied and thoroughly cleansed. The occupier of any premises shall once at least in every three months cause every cesspool belonging to such premises to be emptied and thoronghly cleansed. Provided that where two or more lodgers in a lodging-house are entitled to the use in common of any watercloset, earthcloset, privy, cesspool, or receptacle for dung, the landlord shall cause such watercloset, earthcloset, privy, cesspool, or receptacle for dung to be cleansed and emptied as aforesaid. The landlord, or owner of any lodging-house, shall provide and maintain in connection with such house, watercloset, earthcloset or privy accommodation in the proportion of not less than one watercloset, earthcloset, or privy, for every twelve persons.</x:v>
      </x:c>
    </x:row>
    <x:row r="86" ht="62" customHeight="1">
      <x:c r="A86" s="41" t="str">
        <x:v>1893_0086</x:v>
      </x:c>
      <x:c r="B86" s="41" t="n">
        <x:v>1893</x:v>
      </x:c>
      <x:c r="C86" s="41" t="n">
        <x:v>1894</x:v>
      </x:c>
      <x:c r="D86" s="41" t="str">
        <x:v>governance; housing</x:v>
      </x:c>
      <x:c r="E86" s="41" t="str">
        <x:v>governance: board, sanitary authority | housing: houses</x:v>
      </x:c>
      <x:c r="F86" s="41" t="str">
        <x:v>No</x:v>
      </x:c>
      <x:c r="G86" s="41"/>
      <x:c r="H86" s="41" t="str">
        <x:v>No</x:v>
      </x:c>
      <x:c r="I86" s="41" t="str"/>
      <x:c r="J86" s="41" t="str">
        <x:v>https://wellcomelibrary.org/moh/report/b18018348</x:v>
      </x:c>
      <x:c r="K86" s="41" t="str">
        <x:v>data/moh_raw/Whitechapel_1893_b18018348_fulltext.txt</x:v>
      </x:c>
      <x:c r="L86" s="41" t="str">
        <x:v>Henry H. Fowler, L.S. President. Hugh Owen, Secretary. 52 THE BOARD OF WORKS FOR THE WHITECHAPEL DISTRICT. Public Health (London) Act, 1891, Sec. 94. BYE-LAWS Made by the Board of Works for the Whitechapel District, being the Sanitary Authority for the Whitechapel District, with respeCt to Houses let in Lodgings, or occupied by Members of more than one Family. Interpretation of Terms. 1.</x:v>
      </x:c>
    </x:row>
    <x:row r="87" ht="62" customHeight="1">
      <x:c r="A87" s="41" t="str">
        <x:v>1893_0087</x:v>
      </x:c>
      <x:c r="B87" s="41" t="n">
        <x:v>1893</x:v>
      </x:c>
      <x:c r="C87" s="41" t="n">
        <x:v>1894</x:v>
      </x:c>
      <x:c r="D87" s="41" t="str">
        <x:v>governance; housing</x:v>
      </x:c>
      <x:c r="E87" s="41" t="str">
        <x:v>governance: board, sanitary authority | housing: rooms</x:v>
      </x:c>
      <x:c r="F87" s="41" t="str">
        <x:v>No</x:v>
      </x:c>
      <x:c r="G87" s="41"/>
      <x:c r="H87" s="41" t="str">
        <x:v>No</x:v>
      </x:c>
      <x:c r="I87" s="41" t="str"/>
      <x:c r="J87" s="41" t="str">
        <x:v>https://wellcomelibrary.org/moh/report/b18018348</x:v>
      </x:c>
      <x:c r="K87" s="41" t="str">
        <x:v>data/moh_raw/Whitechapel_1893_b18018348_fulltext.txt</x:v>
      </x:c>
      <x:c r="L87" s="41" t="str">
        <x:v>In these bye-laws, unless the context otherwise requires, the following words and expressions have the meanings hereinafter respectively assigned to them ; that is to say,� " Sanitary Authority" means the Board of Works for the Whitechapel District. "Lodging-house" means a house or part of a house which is let in lodgings or occupied by members of more than one family. "Landlord," in relation to a house or part of a house which is let in lodgings or occupied by members of more than one family, means the person (whatever may be the nature or extent of his interest in the premises) by whom or on whose behalf such house or part of a house is let in lodgings or for occupation by members of more than one family, or who for the time being receives, or is entitled to receive the profits arising from such letting. "Lodger," in relation to a house or part of a house which is let in lodgings or occupied by members of more than one family, means a person to whom any rooms, room, or part of a room, in such house or part of a house may have been let as a lodging or for his use and occupation.</x:v>
      </x:c>
    </x:row>
    <x:row r="88" ht="62" customHeight="1">
      <x:c r="A88" s="41" t="str">
        <x:v>1893_0088</x:v>
      </x:c>
      <x:c r="B88" s="41" t="n">
        <x:v>1893</x:v>
      </x:c>
      <x:c r="C88" s="41" t="n">
        <x:v>1894</x:v>
      </x:c>
      <x:c r="D88" s="41" t="str">
        <x:v>housing</x:v>
      </x:c>
      <x:c r="E88" s="41" t="str">
        <x:v>housing: houses</x:v>
      </x:c>
      <x:c r="F88" s="41" t="str">
        <x:v>No</x:v>
      </x:c>
      <x:c r="G88" s="41"/>
      <x:c r="H88" s="41" t="str">
        <x:v>No</x:v>
      </x:c>
      <x:c r="I88" s="41" t="str"/>
      <x:c r="J88" s="41" t="str">
        <x:v>https://wellcomelibrary.org/moh/report/b18018348</x:v>
      </x:c>
      <x:c r="K88" s="41" t="str">
        <x:v>data/moh_raw/Whitechapel_1893_b18018348_fulltext.txt</x:v>
      </x:c>
      <x:c r="L88" s="41" t="str">
        <x:v>Exempted Houses. 2. In either of the following cases a lodging-house shall be exempted from the operation of these bye-laws; that is to say,� (a) Where the rent or charge payable by each lodger, and exclusive of any charge for the use by such lodger of any furniture, is at a rate exceeding five shillings per week. (b) Where the rent or charge payable by each lodger, and inclusive of any charge for the use by such lodger of any furniture, is at a rate exceeding seven shillings and sixpence per week. 53 (a) For fixing the number of persons who may occupy a house or part of a house which is let in lodgings or occupied by members of more than one family. 3. The landlord of a lodging-house, or a lodger therein, shall not knowingly cause or suffer a greater number of persons than will admit of the provision of three hundred cubic feet of free air space for each person of an age exceeding ten years, and of one hundred and fifty cubic feet of free air space for each person of an age not exceeding ten years to occupy, at any one time, as a sleeping apartment, a room which is used exclusively for that purpose, and which is under the control of such landlord, or which has been let to such lodger, respectively, as the case may be.</x:v>
      </x:c>
    </x:row>
    <x:row r="89" ht="62" customHeight="1">
      <x:c r="A89" s="41" t="str">
        <x:v>1893_0089</x:v>
      </x:c>
      <x:c r="B89" s="41" t="n">
        <x:v>1893</x:v>
      </x:c>
      <x:c r="C89" s="41" t="n">
        <x:v>1894</x:v>
      </x:c>
      <x:c r="D89" s="41" t="str">
        <x:v>housing</x:v>
      </x:c>
      <x:c r="E89" s="41" t="str">
        <x:v>housing: houses</x:v>
      </x:c>
      <x:c r="F89" s="41" t="str">
        <x:v>No</x:v>
      </x:c>
      <x:c r="G89" s="41"/>
      <x:c r="H89" s="41" t="str">
        <x:v>No</x:v>
      </x:c>
      <x:c r="I89" s="41" t="str"/>
      <x:c r="J89" s="41" t="str">
        <x:v>https://wellcomelibrary.org/moh/report/b18018348</x:v>
      </x:c>
      <x:c r="K89" s="41" t="str">
        <x:v>data/moh_raw/Whitechapel_1893_b18018348_fulltext.txt</x:v>
      </x:c>
      <x:c r="L89" s="41" t="str">
        <x:v>4. The landlord of a lodging-house, or a lodger therein, shall not knowingly cause or suffer a greater number of persons than will admit of the provision of four hundred cubic feet of free air space for each person of an age exceeding ten years, and of two hundred cubic feet of free air space for each person of an age not exceeding ten years to occupy, at any one time, as a sleeping apartment, a room which is not used exclusively for that purpose, and which is under the control of such landlord, or which has been let to such lodger respectively, as the case may be. (b) For the registration of houses so let or occupied. 5.</x:v>
      </x:c>
    </x:row>
    <x:row r="90" ht="62" customHeight="1">
      <x:c r="A90" s="41" t="str">
        <x:v>1893_0090</x:v>
      </x:c>
      <x:c r="B90" s="41" t="n">
        <x:v>1893</x:v>
      </x:c>
      <x:c r="C90" s="41" t="n">
        <x:v>1894</x:v>
      </x:c>
      <x:c r="D90" s="41" t="str">
        <x:v>governance; housing</x:v>
      </x:c>
      <x:c r="E90" s="41" t="str">
        <x:v>governance: inspection, sanitary authority | housing: houses, rooms</x:v>
      </x:c>
      <x:c r="F90" s="41" t="str">
        <x:v>No</x:v>
      </x:c>
      <x:c r="G90" s="41"/>
      <x:c r="H90" s="41" t="str">
        <x:v>No</x:v>
      </x:c>
      <x:c r="I90" s="41" t="str"/>
      <x:c r="J90" s="41" t="str">
        <x:v>https://wellcomelibrary.org/moh/report/b18018348</x:v>
      </x:c>
      <x:c r="K90" s="41" t="str">
        <x:v>data/moh_raw/Whitechapel_1893_b18018348_fulltext.txt</x:v>
      </x:c>
      <x:c r="L90" s="41" t="str">
        <x:v>The landlord of a lodging-house, within a period of fourteen days after he shall have been required by a notice in writing, signed by the Clerk to the Sanitary Authority, and duly served upon or delivered to such landlord, to supply the information necessary for the registration of such house by the Sanitary Authority, shall, himself, or by his agent duly authorised in that behalf, sign and furnish to the Sanitary Authority a true statement of the following particulars with respeCt to such house ; that is to say,� (a) The total number of rooms in the house : (b) The total number of rooms let in lodgings or occupied by members of more than one family: (c) The manner of use of each room : (d) The number, age, and sex of the occupants of each room used for sleeping : (e) The Christian name and surname of the lessee of each room; and (f) The amount of rent or charge per day or per week payable by each lessee. (c) For the Inspection of such houses.</x:v>
      </x:c>
    </x:row>
    <x:row r="91" ht="62" customHeight="1">
      <x:c r="A91" s="41" t="str">
        <x:v>1893_0091</x:v>
      </x:c>
      <x:c r="B91" s="41" t="n">
        <x:v>1893</x:v>
      </x:c>
      <x:c r="C91" s="41" t="n">
        <x:v>1894</x:v>
      </x:c>
      <x:c r="D91" s="41" t="str">
        <x:v>governance; housing; sanitary</x:v>
      </x:c>
      <x:c r="E91" s="41" t="str">
        <x:v>governance: inspection, inspector, medical officer, sanitary authority | housing: rooms | sanitary: sanitary</x:v>
      </x:c>
      <x:c r="F91" s="41" t="str">
        <x:v>No</x:v>
      </x:c>
      <x:c r="G91" s="41"/>
      <x:c r="H91" s="41" t="str">
        <x:v>No</x:v>
      </x:c>
      <x:c r="I91" s="41" t="str"/>
      <x:c r="J91" s="41" t="str">
        <x:v>https://wellcomelibrary.org/moh/report/b18018348</x:v>
      </x:c>
      <x:c r="K91" s="41" t="str">
        <x:v>data/moh_raw/Whitechapel_1893_b18018348_fulltext.txt</x:v>
      </x:c>
      <x:c r="L91" s="41" t="str">
        <x:v>6. In any case where the landlord of a lodging-house occupies or resides in any part of the premises, or retains a general possession or control of the premises, such landlord, and in any case where the landlord of a lodging-house does not occupy or reside in any 54 part of the premises, or retain a general possession or control of the premises, every lodger who is entitled to have or to exercise the control of the outer door of the premises shall, at all times when required by the Medical Officer of Health, the Sanitary Inspector, or any other officer specially appointed or authorised by the Sanitary Anthority in that behalf, afford any such officer free access to the interior of the premises for the purpose of inspection. 7. Every lodger in a lodging-house shall, at all times when required by the Medical Officer of Health, the Sanitary inspector or any other officer specially appointed or authorised by the Sanitary Authority in that behalf, afford any such officer free access for the purpose of inspection to the interior of any room or rooms which may have been let to such lodger.</x:v>
      </x:c>
    </x:row>
    <x:row r="92" ht="62" customHeight="1">
      <x:c r="A92" s="41" t="str">
        <x:v>1893_0093</x:v>
      </x:c>
      <x:c r="B92" s="41" t="n">
        <x:v>1893</x:v>
      </x:c>
      <x:c r="C92" s="41" t="n">
        <x:v>1894</x:v>
      </x:c>
      <x:c r="D92" s="41" t="str">
        <x:v>sanitary</x:v>
      </x:c>
      <x:c r="E92" s="41" t="str">
        <x:v>sanitary: drain, drainage, filth, refuse</x:v>
      </x:c>
      <x:c r="F92" s="41" t="str">
        <x:v>No</x:v>
      </x:c>
      <x:c r="G92" s="41"/>
      <x:c r="H92" s="41" t="str">
        <x:v>No</x:v>
      </x:c>
      <x:c r="I92" s="41" t="str"/>
      <x:c r="J92" s="41" t="str">
        <x:v>https://wellcomelibrary.org/moh/report/b18018348</x:v>
      </x:c>
      <x:c r="K92" s="41" t="str">
        <x:v>data/moh_raw/Whitechapel_1893_b18018348_fulltext.txt</x:v>
      </x:c>
      <x:c r="L92" s="41" t="str">
        <x:v>11. The landlord of a lodging-house shall cause every drain or means of drainage with which any water-closet belonging to such house may communicate to be maintained at all times in good order and efficient action. He shall also cause all such means of ventilation as may be provided in or in connection therewith to be maintained at all times in good order. 12. Every lodger in a lodging-house shall cause all solid or liquid filth or refuse to be removed once at least in every day from every room which has been let to him, and shall once at least in every day cause every vessel, utensil, or other receptacle for such filth or refuse to be thoroughly cleansed. 13. In every case where a lodger in a lodging-house is entitled to the exclusive use of any staircase, landing or passage in 55 such house, such lodger shall cause every part of such staircase, landing or passage to be thoroughly cleansed from time to time as often as may be requisite. 14. A lodger in a lodging-house shall not cause or suffer any animal to be kept in any room which has been let to such lodger or elsewhere upon the premises in such a manner as to render the condition of such room or premises filthy.</x:v>
      </x:c>
    </x:row>
    <x:row r="93" ht="62" customHeight="1">
      <x:c r="A93" s="41" t="str">
        <x:v>1893_0094</x:v>
      </x:c>
      <x:c r="B93" s="41" t="n">
        <x:v>1893</x:v>
      </x:c>
      <x:c r="C93" s="41" t="n">
        <x:v>1894</x:v>
      </x:c>
      <x:c r="D93" s="41" t="str">
        <x:v>housing</x:v>
      </x:c>
      <x:c r="E93" s="41" t="str">
        <x:v>housing: rooms</x:v>
      </x:c>
      <x:c r="F93" s="41" t="str">
        <x:v>No</x:v>
      </x:c>
      <x:c r="G93" s="41"/>
      <x:c r="H93" s="41" t="str">
        <x:v>No</x:v>
      </x:c>
      <x:c r="I93" s="41" t="str"/>
      <x:c r="J93" s="41" t="str">
        <x:v>https://wellcomelibrary.org/moh/report/b18018348</x:v>
      </x:c>
      <x:c r="K93" s="41" t="str">
        <x:v>data/moh_raw/Whitechapel_1893_b18018348_fulltext.txt</x:v>
      </x:c>
      <x:c r="L93" s="41" t="str">
        <x:v>15. The landlord of a lodging-house shall cause every common passage or staircase in such house to be thoroughly cleansed from time to time as often as may be requisite. (e) For the cleansing and lime-washing at stated times of the premises. 16. The landlord of a lodging-house shall, in the first week of the month of April in every year, and at any other time when necessary cause every part of the premises to be cleansed. He shall, at the same time, except in such cases as are hereinafter specified, cause every area, the interior surface of every ceiling and wall of every water-closet belonging to the premises, and the interior surface of every ceiling and wall of every room, staircase, and passage in the house to be thoroughly limewashed. Provided that the foregoing requirement with respect to the lime-washing of the internal suface of the walls of rooms, staircases, and passages shall not apply in any case where the internal surface of any such wall is painted, or where the material of or with which such surface is contructed or covered is such as to render the lime-washing thereof unsuitable or inexpedient, and where such surface is thoroughly cleansed, and the paint or other covering is renewed, if the renewal thereof be necessary for the purpose of keeping the premises in a cleanly and wholesome condition.</x:v>
      </x:c>
    </x:row>
    <x:row r="94" ht="62" customHeight="1">
      <x:c r="A94" s="41" t="str">
        <x:v>1893_0096</x:v>
      </x:c>
      <x:c r="B94" s="41" t="n">
        <x:v>1893</x:v>
      </x:c>
      <x:c r="C94" s="41" t="n">
        <x:v>1894</x:v>
      </x:c>
      <x:c r="D94" s="41" t="str">
        <x:v>governance; housing</x:v>
      </x:c>
      <x:c r="E94" s="41" t="str">
        <x:v>governance: board, sanitary authority | housing: houses</x:v>
      </x:c>
      <x:c r="F94" s="41" t="str">
        <x:v>No</x:v>
      </x:c>
      <x:c r="G94" s="41"/>
      <x:c r="H94" s="41" t="str">
        <x:v>No</x:v>
      </x:c>
      <x:c r="I94" s="41" t="str"/>
      <x:c r="J94" s="41" t="str">
        <x:v>https://wellcomelibrary.org/moh/report/b18018348</x:v>
      </x:c>
      <x:c r="K94" s="41" t="str">
        <x:v>data/moh_raw/Whitechapel_1893_b18018348_fulltext.txt</x:v>
      </x:c>
      <x:c r="L94" s="41" t="str">
        <x:v>Penalties. 20. Every person who shall offend against any of the foregoing bye-laws shall be liable for every such offence to a penalty of five pounds, and in the case of a continuing offence to a further penalty of forty shillings for each day after written notice of the offence from the Sanitary Authority. Provided, nevertheless, that the justices or court before whom any complaint may be made or any proceedings may be taken in respect of any such offence may, if they think fit, adjudge the payment as a penalty of any sum less than the full amount of the penalty imposed by this bye-law. 21. From and after the date of the confirmation of these bye-laws the regulations for houses let in lodgings or occupied by members of more than one family, which were confirmed on the fourth day of May in the year one thousand eight hundred and sixty-seven, by one of Her Majesty's principal Secretaries of State, shall be repealed. The seal of the Board of Works for the Whitechapel District was hereunto affixed at a meeting of the Board held the 30th day of October, 1893, by order of the said Board.</x:v>
      </x:c>
    </x:row>
    <x:row r="95" ht="62" customHeight="1">
      <x:c r="A95" s="41" t="str">
        <x:v>1893_0098</x:v>
      </x:c>
      <x:c r="B95" s="41" t="n">
        <x:v>1893</x:v>
      </x:c>
      <x:c r="C95" s="41" t="n">
        <x:v>1894</x:v>
      </x:c>
      <x:c r="D95" s="41" t="str">
        <x:v>governance; inequality</x:v>
      </x:c>
      <x:c r="E95" s="41" t="str">
        <x:v>governance: sanitary authority | inequality: lodgers</x:v>
      </x:c>
      <x:c r="F95" s="41" t="str">
        <x:v>Yes</x:v>
      </x:c>
      <x:c r="G95" s="41"/>
      <x:c r="H95" s="41" t="str">
        <x:v>No</x:v>
      </x:c>
      <x:c r="I95" s="41" t="str"/>
      <x:c r="J95" s="41" t="str">
        <x:v>https://wellcomelibrary.org/moh/report/b18018348</x:v>
      </x:c>
      <x:c r="K95" s="41" t="str">
        <x:v>data/moh_raw/Whitechapel_1893_b18018348_fulltext.txt</x:v>
      </x:c>
      <x:c r="L95" s="41" t="str">
        <x:v>The person in the occupation of or having the charge, management, or control of the premises, or if there is no such person, then any person in occupation of or having the charge, management, or control of any part of the premises, and in the case of any premises the whole of which is let to lodgers, the person receiving the rent payable by the lodgers, either on his own account or as the agent of another person, shall for the purposes of this bye-law be deemed to be the occupier. Penalties. 3. Every person who shall offend against the foregoing bye-law shall be liable for every such offence to a penalty of five pounds, and in the case of a continuing offence to a further penalty of forty shillings for each day after written notice of the offence from the Sanitary Authority. 58 Provided, nevertheless, that the justices or court before whom any complaint may be made, or any proceedings may be taken in respect of any such offence, may, if they think fit, adjudge the payment as a penalty of any sum less than the full amount of the penalty imposed by this bye-law.</x:v>
      </x:c>
    </x:row>
    <x:row r="96" ht="62" customHeight="1">
      <x:c r="A96" s="41" t="str">
        <x:v>1893_0100</x:v>
      </x:c>
      <x:c r="B96" s="41" t="n">
        <x:v>1893</x:v>
      </x:c>
      <x:c r="C96" s="41" t="n">
        <x:v>1894</x:v>
      </x:c>
      <x:c r="D96" s="41" t="str">
        <x:v>inequality</x:v>
      </x:c>
      <x:c r="E96" s="41" t="str">
        <x:v>inequality: lodgers</x:v>
      </x:c>
      <x:c r="F96" s="41" t="str">
        <x:v>Yes</x:v>
      </x:c>
      <x:c r="G96" s="41"/>
      <x:c r="H96" s="41" t="str">
        <x:v>No</x:v>
      </x:c>
      <x:c r="I96" s="41" t="str"/>
      <x:c r="J96" s="41" t="str">
        <x:v>https://wellcomelibrary.org/moh/report/b18018348</x:v>
      </x:c>
      <x:c r="K96" s="41" t="str">
        <x:v>data/moh_raw/Whitechapel_1893_b18018348_fulltext.txt</x:v>
      </x:c>
      <x:c r="L96" s="41" t="str">
        <x:v>The person in occupation of or having the charge, management, or control ot the premises, or if there is no such person, then any person in occupation of or having the charge, management, or control of any part of the premises, and in the case of any premises the whole of which is let in tenements or to lodgers, the person receiving the rent payable by the tenants or lodgers, either on his own account or as the agent of another person, shall for the purposes of this bye-law be deemed to be the occupier. 3. Every person who shall remove any snow from any premises on to any carriageway shall deposit the same in such a manner and with such precautions as to prevent any accumulation thereof in any channel or upon any paved crossing. If in the process of such removal any snow be deposited upon any footway or pavement in any street, he shall forthwith remove such snow from such footway or pavement. 4. Every person who shall throw any salt upon any snow on the footway of any street shall do so in such quantity and in such manner as effectually to dissolve the whole of such snow, and he 6o shall forthwith effectually remove from the footway the whole of the deposit resulting from the mixture of salt with the snow.</x:v>
      </x:c>
    </x:row>
    <x:row r="97" ht="62" customHeight="1">
      <x:c r="A97" s="41" t="str">
        <x:v>1893_0104</x:v>
      </x:c>
      <x:c r="B97" s="41" t="n">
        <x:v>1893</x:v>
      </x:c>
      <x:c r="C97" s="41" t="n">
        <x:v>1894</x:v>
      </x:c>
      <x:c r="D97" s="41" t="str">
        <x:v>governance; sanitary</x:v>
      </x:c>
      <x:c r="E97" s="41" t="str">
        <x:v>governance: sanitary authority | sanitary: drain, filth, refuse</x:v>
      </x:c>
      <x:c r="F97" s="41" t="str">
        <x:v>No</x:v>
      </x:c>
      <x:c r="G97" s="41"/>
      <x:c r="H97" s="41" t="str">
        <x:v>No</x:v>
      </x:c>
      <x:c r="I97" s="41" t="str"/>
      <x:c r="J97" s="41" t="str">
        <x:v>https://wellcomelibrary.org/moh/report/b18018348</x:v>
      </x:c>
      <x:c r="K97" s="41" t="str">
        <x:v>data/moh_raw/Whitechapel_1893_b18018348_fulltext.txt</x:v>
      </x:c>
      <x:c r="L97" s="41" t="str">
        <x:v>9. Every occupier of a building or premises wherein or whereon any horse or other beast of draught or burden, or any cattle may be kept, shall deposit or cause to be deposited in a suitable receptacle all dung, manure, soil, filth, or other offensive or noxious matter other than urine and other liquid filth which may, from time to time, be produced in the keeping of any such animal in such building or upon such premises. He shall likewise provide in connection with such a building or premises a sufficient drain, constructed in such a manner, and of such materials, and maintained at all times in such a condition, as effectually to carry away all urine and liquid filth or refuse therefrom. Except where the Sanitary Authority by notice duly given under the statutory provision in that behalf shall have otherwise required, he shall, once at least in every week, remove or cause to be removed from such building or premises all dung, manure, soil, filth, or other offensive or noxious matter produced in or upon such building or premises, and deposited in a receptacle as hereinbefore required.</x:v>
      </x:c>
    </x:row>
    <x:row r="98" ht="62" customHeight="1">
      <x:c r="A98" s="41" t="str">
        <x:v>1893_0105</x:v>
      </x:c>
      <x:c r="B98" s="41" t="n">
        <x:v>1893</x:v>
      </x:c>
      <x:c r="C98" s="41" t="n">
        <x:v>1894</x:v>
      </x:c>
      <x:c r="D98" s="41" t="str">
        <x:v>governance; housing; sanitary</x:v>
      </x:c>
      <x:c r="E98" s="41" t="str">
        <x:v>governance: sanitary authority | housing: houses | sanitary: drain, nuisance, refuse</x:v>
      </x:c>
      <x:c r="F98" s="41" t="str">
        <x:v>No</x:v>
      </x:c>
      <x:c r="G98" s="41"/>
      <x:c r="H98" s="41" t="str">
        <x:v>No</x:v>
      </x:c>
      <x:c r="I98" s="41" t="str"/>
      <x:c r="J98" s="41" t="str">
        <x:v>https://wellcomelibrary.org/moh/report/b18018348</x:v>
      </x:c>
      <x:c r="K98" s="41" t="str">
        <x:v>data/moh_raw/Whitechapel_1893_b18018348_fulltext.txt</x:v>
      </x:c>
      <x:c r="L98" s="41" t="str">
        <x:v>Provided that this requirement shall not apply to the occupier of any stable or cowhouse from which the Sanitary Authority remove or contract for the removal of manure and other refuse matter. Where for the purpose of preventing the keeping of any horse or other beast of draught or burden or any cattle on any premises so as to be a nuisance or injurious or dangerous to health, it is necessary that the floor of the building in which such animal is kept should be impervious to liquid matter, no person shall keep any animal in such building unless or until the floor thereof shall have been paved with a hard and impervious pavement evenly and closely laid and so sloped as to effectually carry off all liquid matter therefrom to a properly trapped inlet to the drain hereinbefore required to be provided. As to the paving of yards and open spaces in connection with dwelling-houses. 10. The owner of every dwelling-house in connection with which there is any yard or open space shall, where it is necessary for the prevention or remedy of insanitary conditions that all or part of such yard or open space shall be paved, forthwith cause 62 the same to be properly paved with a hard, durable, and impervious pavement, evenly and closely laid upon a sufficient bed of good concrete, and so sloped to a properly constructed channel as effectually to carry off all rain or waste water therefrom; and he shall cause such pavement to be kept in proper repair.</x:v>
      </x:c>
    </x:row>
    <x:row r="99" ht="62" customHeight="1">
      <x:c r="A99" s="41" t="str">
        <x:v>1893_0109</x:v>
      </x:c>
      <x:c r="B99" s="41" t="n">
        <x:v>1893</x:v>
      </x:c>
      <x:c r="C99" s="41" t="n">
        <x:v>1894</x:v>
      </x:c>
      <x:c r="D99" s="41" t="str">
        <x:v>governance; inequality</x:v>
      </x:c>
      <x:c r="E99" s="41" t="str">
        <x:v>governance: sanitary authority | inequality: lodgers</x:v>
      </x:c>
      <x:c r="F99" s="41" t="str">
        <x:v>Yes</x:v>
      </x:c>
      <x:c r="G99" s="41"/>
      <x:c r="H99" s="41" t="str">
        <x:v>No</x:v>
      </x:c>
      <x:c r="I99" s="41" t="str"/>
      <x:c r="J99" s="41" t="str">
        <x:v>https://wellcomelibrary.org/moh/report/b18018348</x:v>
      </x:c>
      <x:c r="K99" s="41" t="str">
        <x:v>data/moh_raw/Whitechapel_1893_b18018348_fulltext.txt</x:v>
      </x:c>
      <x:c r="L99" s="41" t="str">
        <x:v>The person in occupation of, or having the charge, management, or control of the premises, or if there is no such person, then any person in occupation of or having the charge, management, or control of any part of the premises, and in the case of any premises the whole of which is let to lodgers, the person receiving the rent payable by the lodgers, either on his own account, or as the agent of another person, shall, for the purposes of this bye-law be deemed to be the occupier. 5. The occupier of any premises or any other person shall not obstruct or interfere with the owner of such premises, or with any person duly authorised by him in that behalf, in the execution of any work to which the foregoing bye-laws relate. Penalties. 6. Every person who shall offend against any of the foregoing bye-laws shall be liable for every such offence to a penalty of five pounds, and in the case of a continuing offence to a further penalty of forty shillings for each day after written notice of the offence from the Sanitary Authority.</x:v>
      </x:c>
    </x:row>
    <x:row r="100" ht="62" customHeight="1">
      <x:c r="A100" s="41" t="str">
        <x:v>1894_0001</x:v>
      </x:c>
      <x:c r="B100" s="41" t="n">
        <x:v>1894</x:v>
      </x:c>
      <x:c r="C100" s="41" t="n">
        <x:v>1895</x:v>
      </x:c>
      <x:c r="D100" s="41" t="str">
        <x:v>governance; housing; sanitary</x:v>
      </x:c>
      <x:c r="E100" s="41" t="str">
        <x:v>governance: board, local government board, medical officer | housing: dwellings, houses | sanitary: sanitary</x:v>
      </x:c>
      <x:c r="F100" s="41" t="str">
        <x:v>No</x:v>
      </x:c>
      <x:c r="G100" s="41"/>
      <x:c r="H100" s="41" t="str">
        <x:v>No</x:v>
      </x:c>
      <x:c r="I100" s="41" t="str">
        <x:v>Commercial Road</x:v>
      </x:c>
      <x:c r="J100" s="41" t="str">
        <x:v>https://wellcomelibrary.org/moh/report/b1801835x</x:v>
      </x:c>
      <x:c r="K100" s="41" t="str">
        <x:v>data/moh_raw/Whitechapel_1894_b1801835x_fulltext.txt</x:v>
      </x:c>
      <x:c r="L100" s="41" t="str">
        <x:v>WHI 2 THE ANNUAL REPORT on the SANITARY CONDITION of the WHITECHAPEL DISTRICT, (WITH VITAL AND OTHER STATISTICS), FOR THE YEAR 1894, (consisting of 52 weeks), being the ELEVENTH ANNUAL REPORT, by JOSEPH LOANE, MEDICAL OFFICER OF HEALTH; diplomate in public health, university of cambridge; fellow of the incorporated society of medical officers of health ; associate of the college of state medicine; member of the sanitary institute; public vaccinator to the whitechapel union; examiner in, and instructor of, vaccination, by order of the local government board. LONDON: PRINTED BY GEORGE STEVENS &amp; CO., Ltd., 19 &amp; 25a, Commercial Road, E. 1895. Offices of the Board of Works for the Whitechapel District. Public Health Department No. 15, Great Alie Street, London, E. January 18th, 1895. Gentlemen, The District over which you preside is essentially a changing one, as regards the character of its houses, as well as the people who inhabit them. When I commenced practice there were many Courts and Alleys in the North and South portions of Whitechapel, which have now been replaced by large blocks of Artizans' dwellings�then Whitechapel was as much Anglo-Saxon in its population as any other part of Loudon.</x:v>
      </x:c>
    </x:row>
    <x:row r="101" ht="62" customHeight="1">
      <x:c r="A101" s="41" t="str">
        <x:v>1894_0002</x:v>
      </x:c>
      <x:c r="B101" s="41" t="n">
        <x:v>1894</x:v>
      </x:c>
      <x:c r="C101" s="41" t="n">
        <x:v>1895</x:v>
      </x:c>
      <x:c r="D101" s="41" t="str">
        <x:v>housing</x:v>
      </x:c>
      <x:c r="E101" s="41" t="str">
        <x:v>housing: tenement</x:v>
      </x:c>
      <x:c r="F101" s="41" t="str">
        <x:v>No</x:v>
      </x:c>
      <x:c r="G101" s="41"/>
      <x:c r="H101" s="41" t="str">
        <x:v>No</x:v>
      </x:c>
      <x:c r="I101" s="41" t="str">
        <x:v>Spitalfields</x:v>
      </x:c>
      <x:c r="J101" s="41" t="str">
        <x:v>https://wellcomelibrary.org/moh/report/b1801835x</x:v>
      </x:c>
      <x:c r="K101" s="41" t="str">
        <x:v>data/moh_raw/Whitechapel_1894_b1801835x_fulltext.txt</x:v>
      </x:c>
      <x:c r="L101" s="41" t="str">
        <x:v>We have seen all this become altered, at first slowly, now so rapidly, that at the present time a stranger coming into some of the streets in Spitalfields might be excused for doubting that he was in the Capital of England at all. These changes of Nationality in population carry with them certain difficulties in administration which must be apparent at the first thought; difficulties such as could not have arisen if the population had remained a more or less stationary one. Some of these difficulties I shall have to mention later on, but for the present I am concerned with the one as to the probable Census of the District, and the problem how best to arrive at it. From experience we are inclined to doubt the accuracy of the Government Census Returns, because we know how difficult it is for Inspectors to obtain the correct particulars, even by carefully visiting each tenement. I can, however, only base my conclusion upon the estimated population in the middle of the year 1894, supplemented by other facts which I will now explain.</x:v>
      </x:c>
    </x:row>
    <x:row r="102" ht="62" customHeight="1">
      <x:c r="A102" s="41" t="str">
        <x:v>1894_0007</x:v>
      </x:c>
      <x:c r="B102" s="41" t="n">
        <x:v>1894</x:v>
      </x:c>
      <x:c r="C102" s="41" t="n">
        <x:v>1895</x:v>
      </x:c>
      <x:c r="D102" s="41" t="str">
        <x:v>disease; governance; sanitary</x:v>
      </x:c>
      <x:c r="E102" s="41" t="str">
        <x:v>disease: diphtheria, measles, scarlet fever | governance: board | sanitary: sanitary</x:v>
      </x:c>
      <x:c r="F102" s="41" t="str">
        <x:v>No</x:v>
      </x:c>
      <x:c r="G102" s="41"/>
      <x:c r="H102" s="41" t="str">
        <x:v>No</x:v>
      </x:c>
      <x:c r="I102" s="41" t="str"/>
      <x:c r="J102" s="41" t="str">
        <x:v>https://wellcomelibrary.org/moh/report/b1801835x</x:v>
      </x:c>
      <x:c r="K102" s="41" t="str">
        <x:v>data/moh_raw/Whitechapel_1894_b1801835x_fulltext.txt</x:v>
      </x:c>
      <x:c r="L102" s="41" t="str">
        <x:v>It is curious that, although the deaths from accidents have an almost identical percentage to total deaths in each list, yet where homicide and suicide are concerned our district can show the better record. This result is also to be mentioned in deaths from Privation and Alcoholism, although, on the other hand, fewer of our people die from that much envied cause of death�"Old Age." In passing, I must call attention to Table K*, which I have produced, to indicate the improvement apparent in our mortality returns since I first reported to your Board. It is clear that the improvement is in the direction of what may be termed "ordinary" diseases rather than in any of the diseases of the Zymotic type. Although Small-pox is again absent from the death-roll, owing to the excellent work of the Vaccination Officer, I regret to record that Measles, Scarlet Fever, Whooping Cough, and Diphtheria maintain a position equal to the previous decennial average. I have heard it adduced as an argument against the claims of vaccination that improved hygiene has determined the comparative disappearance of Small-pox rather than any prophylactic power said to exist in the vaccine lymph, If this be so, may I ask why the diseases I have named (which are still present with their old power of causing death) have not been edged out by the same sanitary improvements?</x:v>
      </x:c>
    </x:row>
    <x:row r="103" ht="62" customHeight="1">
      <x:c r="A103" s="41" t="str">
        <x:v>1894_0010</x:v>
      </x:c>
      <x:c r="B103" s="41" t="n">
        <x:v>1894</x:v>
      </x:c>
      <x:c r="C103" s="41" t="n">
        <x:v>1895</x:v>
      </x:c>
      <x:c r="D103" s="41" t="str">
        <x:v>governance; housing</x:v>
      </x:c>
      <x:c r="E103" s="41" t="str">
        <x:v>governance: medical officer, sanitary authority | housing: houses</x:v>
      </x:c>
      <x:c r="F103" s="41" t="str">
        <x:v>No</x:v>
      </x:c>
      <x:c r="G103" s="41"/>
      <x:c r="H103" s="41" t="str">
        <x:v>No</x:v>
      </x:c>
      <x:c r="I103" s="41" t="str"/>
      <x:c r="J103" s="41" t="str">
        <x:v>https://wellcomelibrary.org/moh/report/b1801835x</x:v>
      </x:c>
      <x:c r="K103" s="41" t="str">
        <x:v>data/moh_raw/Whitechapel_1894_b1801835x_fulltext.txt</x:v>
      </x:c>
      <x:c r="L103" s="41" t="str">
        <x:v>It runs as follows:�" The Managers must at once comply "with any notice of the Sanitary Authority of the district in which "the school is situated, or any two members thereof acting on the "advice of the Medical Officer of Health, requiring them for a specfied "time, with a view to preventing the spread of disease, or any danger "to health likely to arise from the condition of the School, either to "close the School or to exclude any scholars from attendance, but, "after complying, they may appeal to the Department if they consider "the notice to be unreasonable." At present the arrangements are continued whereby the Authorities of the Elementary Schools in our District are kept accurately informed of all cases of infectious disease occurring among their scholars, or in houses where their scholars live. I hope that it will never be necessary to take advantage of the power which is given by the Article from which I have quoted. The Disinfecting Apparatus has performed good service during the year, and I have every reason to be satisfied with the general arrangements.</x:v>
      </x:c>
    </x:row>
    <x:row r="104" ht="62" customHeight="1">
      <x:c r="A104" s="41" t="str">
        <x:v>1894_0011</x:v>
      </x:c>
      <x:c r="B104" s="41" t="n">
        <x:v>1894</x:v>
      </x:c>
      <x:c r="C104" s="41" t="n">
        <x:v>1895</x:v>
      </x:c>
      <x:c r="D104" s="41" t="str">
        <x:v>disease; governance; housing; sanitary</x:v>
      </x:c>
      <x:c r="E104" s="41" t="str">
        <x:v>disease: cholera | governance: board | housing: rooms | sanitary: refuse, sanitary</x:v>
      </x:c>
      <x:c r="F104" s="41" t="str">
        <x:v>No</x:v>
      </x:c>
      <x:c r="G104" s="41"/>
      <x:c r="H104" s="41" t="str">
        <x:v>No</x:v>
      </x:c>
      <x:c r="I104" s="41" t="str">
        <x:v>Mile End New Town; Spitalfields</x:v>
      </x:c>
      <x:c r="J104" s="41" t="str">
        <x:v>https://wellcomelibrary.org/moh/report/b1801835x</x:v>
      </x:c>
      <x:c r="K104" s="41" t="str">
        <x:v>data/moh_raw/Whitechapel_1894_b1801835x_fulltext.txt</x:v>
      </x:c>
      <x:c r="L104" s="41" t="str">
        <x:v>Although sulphurous acid gas is still used as the routine disinfectant for rooms, it is supplemented in special cases by perchloride of mercury in solution. In the summer of 1894, the former provisions as to Cholera precautions were revived, and during the autumn months your Board added "Diarrh�a " to the list of notifiable diseases. * Six only were District Residents 8 I am informed by your Surveyor that the results in connection with the cremation of refuse have been highly satisfactory during the year, and I can bear testimony to the advantages which are derived from the daily collection of house refuse, which now is extended to nearly the whole District. It may interest you to know that at present only four Sanitary Districts out of 42 have Dust destructors, the remaining Authorities continue to dispose of the refuse in the manner which formerly you were obliged to adopt. Old Age Deaths:-Males 14 Females 17 31 Age Distribution of Deaths. Sub-Registration Districts Distribution. Between the ages of 80 and 85 16 Spitalfields Sub-District 10 � � 85 � 90 11 Mile End New Town do.</x:v>
      </x:c>
    </x:row>
    <x:row r="105" ht="62" customHeight="1">
      <x:c r="A105" s="41" t="str">
        <x:v>1894_0013</x:v>
      </x:c>
      <x:c r="B105" s="41" t="n">
        <x:v>1894</x:v>
      </x:c>
      <x:c r="C105" s="41" t="n">
        <x:v>1895</x:v>
      </x:c>
      <x:c r="D105" s="41" t="str">
        <x:v>sanitary</x:v>
      </x:c>
      <x:c r="E105" s="41" t="str">
        <x:v>sanitary: water supply</x:v>
      </x:c>
      <x:c r="F105" s="41" t="str">
        <x:v>No</x:v>
      </x:c>
      <x:c r="G105" s="41"/>
      <x:c r="H105" s="41" t="str">
        <x:v>No</x:v>
      </x:c>
      <x:c r="I105" s="41" t="str">
        <x:v>London Hospital</x:v>
      </x:c>
      <x:c r="J105" s="41" t="str">
        <x:v>https://wellcomelibrary.org/moh/report/b1801835x</x:v>
      </x:c>
      <x:c r="K105" s="41" t="str">
        <x:v>data/moh_raw/Whitechapel_1894_b1801835x_fulltext.txt</x:v>
      </x:c>
      <x:c r="L105" s="41" t="str">
        <x:v>Nearly all the former took place at the London Hospital. Through the death of Dr. Macdonald, the London County Council were enabled to place the entire District of Whitechapel under the jurisdiction of one Coroner, so that during the year no difficulty has been reported in the working of the Mortuary arrangements. The Mortuary has received 182 bodies during the twelve months: Inquests were held upon all but 8. The Fees received by arrangement with the Coroner, for the use of the Coroner's Court amounted to �31 17s. Od. During the two years and nine months the Mortuary has been open, a total of 434 bodies were received into its chambers, and a total of �78 4s. Od. has been paid bv the Coroner in Fees. Water Supply in the Whitechapel District. In my last Report, I alluded to the action of the East London Water Company in limiting its supply of water, and I mentioned that a prosecution which was instituted against the Company for a breach of covenants, resulted in a verdict for the Water Company.</x:v>
      </x:c>
    </x:row>
    <x:row r="106" ht="62" customHeight="1">
      <x:c r="A106" s="41" t="str">
        <x:v>1894_0014</x:v>
      </x:c>
      <x:c r="B106" s="41" t="n">
        <x:v>1894</x:v>
      </x:c>
      <x:c r="C106" s="41" t="n">
        <x:v>1895</x:v>
      </x:c>
      <x:c r="D106" s="41" t="str">
        <x:v>housing; inequality; sanitary</x:v>
      </x:c>
      <x:c r="E106" s="41" t="str">
        <x:v>housing: houses | inequality: infirmary, lodging-houses | sanitary: water supply</x:v>
      </x:c>
      <x:c r="F106" s="41" t="str">
        <x:v>Yes</x:v>
      </x:c>
      <x:c r="G106" s="41"/>
      <x:c r="H106" s="41" t="str">
        <x:v>Yes</x:v>
      </x:c>
      <x:c r="I106" s="41" t="str"/>
      <x:c r="J106" s="41" t="str">
        <x:v>https://wellcomelibrary.org/moh/report/b1801835x</x:v>
      </x:c>
      <x:c r="K106" s="41" t="str">
        <x:v>data/moh_raw/Whitechapel_1894_b1801835x_fulltext.txt</x:v>
      </x:c>
      <x:c r="L106" s="41" t="str">
        <x:v>Curiously enough the result of the drought of 1893 was to permit the Company to give constant supply to its customers during nearly all the summer of 1894, and then in the Autumn to compel it to resort to the intermittent system of supply. When it is understood that cisterns are not generally to be found in houses in the District, it will be apparent that great inconvenience frequently resulted from this arrangement. That some better and more certain system of water supply is necessary cannot be doubted. That one of the necessities of life should be in the hands of a trading company, who may limit its supply in the manner I have discussed, possesses risks which at least demand considerable attention. Registered Common Lodging-Houses are now under the control of the London County Council, instead of as formerly being under Police Supervision. These houses are fewer in number, being 86 now, as compared with 98 in the last year. I append a list as usual, showing the number of deaths among the inhabitants of these houses where 10 such deaths took place in the Whitechapel Union Infirmary or other Public Institution.</x:v>
      </x:c>
    </x:row>
    <x:row r="107" ht="62" customHeight="1">
      <x:c r="A107" s="41" t="str">
        <x:v>1894_0020</x:v>
      </x:c>
      <x:c r="B107" s="41" t="n">
        <x:v>1894</x:v>
      </x:c>
      <x:c r="C107" s="41" t="n">
        <x:v>1895</x:v>
      </x:c>
      <x:c r="D107" s="41" t="str">
        <x:v>housing; inequality; sanitary</x:v>
      </x:c>
      <x:c r="E107" s="41" t="str">
        <x:v>housing: dwellings, houses | inequality: working classes | sanitary: sanitary</x:v>
      </x:c>
      <x:c r="F107" s="41" t="str">
        <x:v>Yes</x:v>
      </x:c>
      <x:c r="G107" s="41"/>
      <x:c r="H107" s="41" t="str">
        <x:v>Yes</x:v>
      </x:c>
      <x:c r="I107" s="41" t="str">
        <x:v>Hanbury Street</x:v>
      </x:c>
      <x:c r="J107" s="41" t="str">
        <x:v>https://wellcomelibrary.org/moh/report/b1801835x</x:v>
      </x:c>
      <x:c r="K107" s="41" t="str">
        <x:v>data/moh_raw/Whitechapel_1894_b1801835x_fulltext.txt</x:v>
      </x:c>
      <x:c r="L107" s="41" t="str">
        <x:v>Dr. Longstaff, Chairman of the Building Act Committee of the London County Council, who was active in the promotion of the Bill, was recently discussing its merits at the Parkes Museum. The Doctor stated "that Parliament threw upon the County Council "the imperative duty, under certain circumstances, of (at practically "whatever cost) buying out unhealthy buildings of persons of the "working-class, and seeing that more suitable dwellings were placed "thereon." Perfectly true! may I commend this opinion to the consideration of the Council when they next consider the question of " The Bell Lane and Great Pearl Street areas?" Housing of the Working Classes Act, 1890. I have been very unsuccessful in the application of this Act to worn out property. To begin with, I do not think Magistrates like it; and although very strong evidence has been produced in support of some prosecutions which I have been interested in, more difficulties have occurred with it than I have experienced with any other Sanitary Act. As an illustration, I will mention the houses in Hanbury Street and Samuel Court.</x:v>
      </x:c>
    </x:row>
    <x:row r="108" ht="62" customHeight="1">
      <x:c r="A108" s="41" t="str">
        <x:v>1894_0021</x:v>
      </x:c>
      <x:c r="B108" s="41" t="n">
        <x:v>1894</x:v>
      </x:c>
      <x:c r="C108" s="41" t="n">
        <x:v>1895</x:v>
      </x:c>
      <x:c r="D108" s="41" t="str">
        <x:v>governance; housing</x:v>
      </x:c>
      <x:c r="E108" s="41" t="str">
        <x:v>governance: board, summonses | housing: houses</x:v>
      </x:c>
      <x:c r="F108" s="41" t="str">
        <x:v>No</x:v>
      </x:c>
      <x:c r="G108" s="41"/>
      <x:c r="H108" s="41" t="str">
        <x:v>No</x:v>
      </x:c>
      <x:c r="I108" s="41" t="str"/>
      <x:c r="J108" s="41" t="str">
        <x:v>https://wellcomelibrary.org/moh/report/b1801835x</x:v>
      </x:c>
      <x:c r="K108" s="41" t="str">
        <x:v>data/moh_raw/Whitechapel_1894_b1801835x_fulltext.txt</x:v>
      </x:c>
      <x:c r="L108" s="41" t="str">
        <x:v>These were represented through the activity of a Committee of your Board. Proceedings were instituted at Worship Street Police Court. Counsel appeared on both sides. The owner contended that, as he could and would do everything the District Board required, no Closing Order ought to be made. The houses were worn out and thoroughly dilapidated. No damp course was present, and the walls were wet in many places. The plaster was rotten and filthy. The front and back walls were in some cases dangerous. The magistrate granted an adjournment from time to time, and finally, after some six months had elapsed, the summonses were withdrawn upon the owner contributing Ten guineas towards the expenses of the prosecution. As evidence that the prosecution was justified, I may cite the fact that the front and back walls were renewed down to the ground floors; a damp-proof course was inserted into all outside and party walls; the floors were excavated and ventilated; new; woodwork was generally introduced, and new sashes and window frames were supplied.</x:v>
      </x:c>
    </x:row>
    <x:row r="109" ht="62" customHeight="1">
      <x:c r="A109" s="41" t="str">
        <x:v>1894_0022</x:v>
      </x:c>
      <x:c r="B109" s="41" t="n">
        <x:v>1894</x:v>
      </x:c>
      <x:c r="C109" s="41" t="n">
        <x:v>1895</x:v>
      </x:c>
      <x:c r="D109" s="41" t="str">
        <x:v>governance; housing; sanitary</x:v>
      </x:c>
      <x:c r="E109" s="41" t="str">
        <x:v>governance: board, medical officer, notices | housing: houses | sanitary: drainage, sanitary</x:v>
      </x:c>
      <x:c r="F109" s="41" t="str">
        <x:v>No</x:v>
      </x:c>
      <x:c r="G109" s="41"/>
      <x:c r="H109" s="41" t="str">
        <x:v>No</x:v>
      </x:c>
      <x:c r="I109" s="41" t="str"/>
      <x:c r="J109" s="41" t="str">
        <x:v>https://wellcomelibrary.org/moh/report/b1801835x</x:v>
      </x:c>
      <x:c r="K109" s="41" t="str">
        <x:v>data/moh_raw/Whitechapel_1894_b1801835x_fulltext.txt</x:v>
      </x:c>
      <x:c r="L109" s="41" t="str">
        <x:v>New plaster was added to both walls and ceilings. Fresh drainage was pro- 16 vided, and new water-closets were erected in the yards. The roofs received considerable attention. In fact, a very little larger outlay would have rebuilt the houses altogether; whereas now it can only be claimed that old houses still exist. I can never hope to have a case more in accord with what I conceive was the intention of the framers of the 1890 Act than the one I have thus briefly described. Recently, the result of the visits of Dr. Hamer to the Whitechapel District was communicated to and considered by your Board. I will not enter into detail concerning the Report and the reply thereto, because the reply which I append notices the points of importance in the Report. Board of Works �Whitechapel District. Reply to the Report by Dr. Hamer upon the Sanitary Condition of the Whitechapel District. December, 1894. The preface to Dr. Hamer's Report, which bears date 15th October, 1894, is written by Mr. Shirley Murphy, the Medical Officer to the London County Council.</x:v>
      </x:c>
    </x:row>
    <x:row r="110" ht="62" customHeight="1">
      <x:c r="A110" s="41" t="str">
        <x:v>1894_0023</x:v>
      </x:c>
      <x:c r="B110" s="41" t="n">
        <x:v>1894</x:v>
      </x:c>
      <x:c r="C110" s="41" t="n">
        <x:v>1895</x:v>
      </x:c>
      <x:c r="D110" s="41" t="str">
        <x:v>governance; sanitary</x:v>
      </x:c>
      <x:c r="E110" s="41" t="str">
        <x:v>governance: board | sanitary: sanitary</x:v>
      </x:c>
      <x:c r="F110" s="41" t="str">
        <x:v>No</x:v>
      </x:c>
      <x:c r="G110" s="41"/>
      <x:c r="H110" s="41" t="str">
        <x:v>No</x:v>
      </x:c>
      <x:c r="I110" s="41" t="str">
        <x:v>Spitalfields; Mile End</x:v>
      </x:c>
      <x:c r="J110" s="41" t="str">
        <x:v>https://wellcomelibrary.org/moh/report/b1801835x</x:v>
      </x:c>
      <x:c r="K110" s="41" t="str">
        <x:v>data/moh_raw/Whitechapel_1894_b1801835x_fulltext.txt</x:v>
      </x:c>
      <x:c r="L110" s="41" t="str">
        <x:v>It recites the information that a complaint which was introduced into the Annual Report for 1893, and published by the Sanitary Committee of the Jewish Board of Guardians, was the origin of the instructions by the London County Council to its Medical Staff to prepare Reports concerning the Sanitary Condition of both Mile End Old Town Hamlet, and of the Whitechapel District. So far as regards the share which is allotted to Whitechapel in the Jewish Board of Guardians' Sanitary Report, it may at once be stated that the chief charge against the Whitechapel District has reference to blocks of buildings known as Booth Street Buildings, situated in Booth Street, Spitalfields.</x:v>
      </x:c>
    </x:row>
    <x:row r="111" ht="62" customHeight="1">
      <x:c r="A111" s="41" t="str">
        <x:v>1894_0024</x:v>
      </x:c>
      <x:c r="B111" s="41" t="n">
        <x:v>1894</x:v>
      </x:c>
      <x:c r="C111" s="41" t="n">
        <x:v>1895</x:v>
      </x:c>
      <x:c r="D111" s="41" t="str">
        <x:v>governance; housing; sanitary</x:v>
      </x:c>
      <x:c r="E111" s="41" t="str">
        <x:v>governance: board, inspector, medical officer | housing: dwellings, houses | sanitary: drains</x:v>
      </x:c>
      <x:c r="F111" s="41" t="str">
        <x:v>No</x:v>
      </x:c>
      <x:c r="G111" s="41"/>
      <x:c r="H111" s="41" t="str">
        <x:v>No</x:v>
      </x:c>
      <x:c r="I111" s="41" t="str"/>
      <x:c r="J111" s="41" t="str">
        <x:v>https://wellcomelibrary.org/moh/report/b1801835x</x:v>
      </x:c>
      <x:c r="K111" s="41" t="str">
        <x:v>data/moh_raw/Whitechapel_1894_b1801835x_fulltext.txt</x:v>
      </x:c>
      <x:c r="L111" s="41" t="str">
        <x:v>Upon page 75 of the Report it is stated that the difficulty of securing the remedy of insanitary conditions "was in some cases so great, that our "Inspector found it necessary in the course of 1893 to pay as many as 10 "separate visits to each of 19 houses, and to visit 40 different abodes on no "less than 20 distinct occasions." In this way 800 visits are accounted for because " each separate floor visited is counted as one house." Now it is only necessary to remember the fact that these Dwellings are inhabited almost entirely by Polish Jews, to be sure that the Inspector to the Jewish Board of Guardians is in error if he supposes that the defects to which he called attention from time to time remained unremedied so long as the Report of his Committee would lead a reader to believe, Such defects as choked drains are the outcome of foreign bodies being cast into the closets, and are of a description which Inspectors, however numerous, are powerless to prevent. The Medical Officer of Health for Whitechapel has paid very special attention to Booth Street Buildings, and he reported to Her Majesty's Government upon their condition about two years since.</x:v>
      </x:c>
    </x:row>
    <x:row r="112" ht="62" customHeight="1">
      <x:c r="A112" s="41" t="str">
        <x:v>1894_0025</x:v>
      </x:c>
      <x:c r="B112" s="41" t="n">
        <x:v>1894</x:v>
      </x:c>
      <x:c r="C112" s="41" t="n">
        <x:v>1895</x:v>
      </x:c>
      <x:c r="D112" s="41" t="str">
        <x:v>governance; inequality; sanitary</x:v>
      </x:c>
      <x:c r="E112" s="41" t="str">
        <x:v>governance: board | inequality: working classes | sanitary: sanitary</x:v>
      </x:c>
      <x:c r="F112" s="41" t="str">
        <x:v>Yes</x:v>
      </x:c>
      <x:c r="G112" s="41"/>
      <x:c r="H112" s="41" t="str">
        <x:v>Yes</x:v>
      </x:c>
      <x:c r="I112" s="41" t="str"/>
      <x:c r="J112" s="41" t="str">
        <x:v>https://wellcomelibrary.org/moh/report/b1801835x</x:v>
      </x:c>
      <x:c r="K112" s="41" t="str">
        <x:v>data/moh_raw/Whitechapel_1894_b1801835x_fulltext.txt</x:v>
      </x:c>
      <x:c r="L112" s="41" t="str">
        <x:v>He has further pointed out that the influential members of the Jewish Community can to a 17 great extent remedy the evils of which their Sanitary Committee complain, by using such personal influence in aiding their education, that these people may use, instead of abuse, the Sanitary Conveniences provided for them, and to which they have not hitherto been accustomed. The second paragraph of Mr. Murphy's preface to Dr. Hamer's Report has reference to the fact that Whitechapel still has an exceptional number of ill-arranged courts and alleys. If this be so, it is also a fact that they are chiefly contained within the areas well known as "The Bell Lane Area," and "Great Pearl Street." It cannot be necessary to recall the fact that these areas, so far back as 1871, were reprsented to the late Metropolitan Board of Works, and that progress had been made by that Authority in the direction of giving effect to those representations, when it was succeeded by the London County Council. The New Body, by its Committees and Officers, are thoroughly acquainted with the conditions of the areas, and during the present year, the Chairman of the Housing of tho Working Classes Committee admitted to a Deputation of the Whitechapel Board the necessities of the Case, but pleaded " Want of Funds " as a reason for the Council's inactivity in promoting a Bill for acquiring the areas under Part 1 of the " Housing of the Working Classes Act, 1890." Dr.</x:v>
      </x:c>
    </x:row>
    <x:row r="113" ht="62" customHeight="1">
      <x:c r="A113" s="41" t="str">
        <x:v>1894_0026</x:v>
      </x:c>
      <x:c r="B113" s="41" t="n">
        <x:v>1894</x:v>
      </x:c>
      <x:c r="C113" s="41" t="n">
        <x:v>1895</x:v>
      </x:c>
      <x:c r="D113" s="41" t="str">
        <x:v>governance; housing; inequality</x:v>
      </x:c>
      <x:c r="E113" s="41" t="str">
        <x:v>governance: board, medical officer | housing: rooms | inequality: poverty</x:v>
      </x:c>
      <x:c r="F113" s="41" t="str">
        <x:v>Yes</x:v>
      </x:c>
      <x:c r="G113" s="41"/>
      <x:c r="H113" s="41" t="str">
        <x:v>Yes</x:v>
      </x:c>
      <x:c r="I113" s="41" t="str"/>
      <x:c r="J113" s="41" t="str">
        <x:v>https://wellcomelibrary.org/moh/report/b1801835x</x:v>
      </x:c>
      <x:c r="K113" s="41" t="str">
        <x:v>data/moh_raw/Whitechapel_1894_b1801835x_fulltext.txt</x:v>
      </x:c>
      <x:c r="L113" s="41" t="str">
        <x:v>Hamer commences his Report with certain statistical information with which the Members of the Whitechapel District Board are familiar, as they entered into their Medical Officer's Report which was issued in the early part of the present year. The Committee do not proposo to discuss the interesting figures which have been extracted from Mr. Booth's excellent book upon "Poverty and Associated Conditions," because in such connection it has been shewn that theory and experience do not always agree with the results which may be deduced from such observations. It is an admitted fact that the Polish Jew, like the Native of the South of Ireland, has a strong affection for his home, be it only a single room: he will use his greatest efforts against being dislodged, even though one can prove to him that two better rooms may be provided for him elsewhere for the same rental. With regard to the other factors, such as excess of young married females, and surplus married males, mentioned by Mr. Booth, and quoted by Dr.</x:v>
      </x:c>
    </x:row>
    <x:row r="114" ht="62" customHeight="1">
      <x:c r="A114" s="41" t="str">
        <x:v>1894_0027</x:v>
      </x:c>
      <x:c r="B114" s="41" t="n">
        <x:v>1894</x:v>
      </x:c>
      <x:c r="C114" s="41" t="n">
        <x:v>1895</x:v>
      </x:c>
      <x:c r="D114" s="41" t="str">
        <x:v>housing; sanitary</x:v>
      </x:c>
      <x:c r="E114" s="41" t="str">
        <x:v>housing: houses, model dwellings | sanitary: sanitary</x:v>
      </x:c>
      <x:c r="F114" s="41" t="str">
        <x:v>No</x:v>
      </x:c>
      <x:c r="G114" s="41"/>
      <x:c r="H114" s="41" t="str">
        <x:v>No</x:v>
      </x:c>
      <x:c r="I114" s="41" t="str">
        <x:v>Spitalfields</x:v>
      </x:c>
      <x:c r="J114" s="41" t="str">
        <x:v>https://wellcomelibrary.org/moh/report/b1801835x</x:v>
      </x:c>
      <x:c r="K114" s="41" t="str">
        <x:v>data/moh_raw/Whitechapel_1894_b1801835x_fulltext.txt</x:v>
      </x:c>
      <x:c r="L114" s="41" t="str">
        <x:v>Hamer, although interesting, they can only indicate the nature of the employments which attract the latter, and the large number of New Model Dwellings which attract the former. Dr. Hamer makes a point of the density of population being high in the Whitechapel District�240 persons per acre for the whole District, and 313 for the Sub-District of Spitalfields. He might have added 600 persons to an acre in the Bell Lane Area. A very little explanation will suffice to discount somewhat the apparent evil connected with such a high density of population. It must be so where cottages and small houses give place to huge piles of barracks called Model Dwellings. It must not be forgotten, in considering the effect of such buildings upon the future health and Sanitary Condition of a District, that when such structures are well built, and are inhabited by a selected class of tenants, comparatively little over-looking by the Sanitary Staff is called for, and the Sickness Rate, as well as the Death Rate, become much reduced.</x:v>
      </x:c>
    </x:row>
    <x:row r="115" ht="62" customHeight="1">
      <x:c r="A115" s="41" t="str">
        <x:v>1894_0029</x:v>
      </x:c>
      <x:c r="B115" s="41" t="n">
        <x:v>1894</x:v>
      </x:c>
      <x:c r="C115" s="41" t="n">
        <x:v>1895</x:v>
      </x:c>
      <x:c r="D115" s="41" t="str">
        <x:v>governance; housing; sanitary</x:v>
      </x:c>
      <x:c r="E115" s="41" t="str">
        <x:v>governance: inspections, medical officer | housing: houses | sanitary: drainage, nuisances, sanitary</x:v>
      </x:c>
      <x:c r="F115" s="41" t="str">
        <x:v>No</x:v>
      </x:c>
      <x:c r="G115" s="41"/>
      <x:c r="H115" s="41" t="str">
        <x:v>No</x:v>
      </x:c>
      <x:c r="I115" s="41" t="str"/>
      <x:c r="J115" s="41" t="str">
        <x:v>https://wellcomelibrary.org/moh/report/b1801835x</x:v>
      </x:c>
      <x:c r="K115" s="41" t="str">
        <x:v>data/moh_raw/Whitechapel_1894_b1801835x_fulltext.txt</x:v>
      </x:c>
      <x:c r="L115" s="41" t="str">
        <x:v>The matter has been fully dealt with in the Reports of the Medical Officer of Health for the Whitechapel District. Dr. Hamer's Report proceeds to deal with a recital of the general nuisances which he discovered in the course of his inspections. Little comment is needed concerning them, they are more or less of a class common to all Sanitary Districts in the Metropolis and which are readily remedied. Bakehouses, Slaughter-houses Milk Shops, &amp;c., are briefly discussed more as a part of the Report by Dr. Hamer that in adverse criticism. It is worthy of comment that credit is given to the staff for the manner in which the work is performed, and for the many excellent improvements which are manifest in the District. Especial comment is made concerning the House Drainage improvements which are in evidence. Reviewing the facts included in Dr. Hamer's Report, and the preface by the Chief Medical Officer to the London County Council, your Committee is at once confronted with the fact that when your Medical Officer was appointed, two Sanitary Inspectors made up the Inspectorial Staff.</x:v>
      </x:c>
    </x:row>
    <x:row r="116" ht="62" customHeight="1">
      <x:c r="A116" s="41" t="str">
        <x:v>1894_0030</x:v>
      </x:c>
      <x:c r="B116" s="41" t="n">
        <x:v>1894</x:v>
      </x:c>
      <x:c r="C116" s="41" t="n">
        <x:v>1895</x:v>
      </x:c>
      <x:c r="D116" s="41" t="str">
        <x:v>governance; sanitary</x:v>
      </x:c>
      <x:c r="E116" s="41" t="str">
        <x:v>governance: board, inspector | sanitary: sanitary</x:v>
      </x:c>
      <x:c r="F116" s="41" t="str">
        <x:v>No</x:v>
      </x:c>
      <x:c r="G116" s="41"/>
      <x:c r="H116" s="41" t="str">
        <x:v>No</x:v>
      </x:c>
      <x:c r="I116" s="41" t="str"/>
      <x:c r="J116" s="41" t="str">
        <x:v>https://wellcomelibrary.org/moh/report/b1801835x</x:v>
      </x:c>
      <x:c r="K116" s="41" t="str">
        <x:v>data/moh_raw/Whitechapel_1894_b1801835x_fulltext.txt</x:v>
      </x:c>
      <x:c r="L116" s="41" t="str">
        <x:v>At the present time there are 4 Inspectors and an Office Clerk in the permanent employ of the Board, and other assistance has been obtained when necessary. At the present time an Assistant Inspector is employed. Aid is also rendered for special work by the men who are ostensibly engaged for disinfection work. There is every reason to be satisfied with the improvements which have taken place in the Sanitary state of the District. At the present time so excellent a system of work is in practice that an enormous amount of work is carried out day by day, and it is to be noticed that some other large improvements have been projected, and will shortly be carried out within the District. Attention is directed in this Report to the great density of population in the Residential portion of the District. Recently, in perhaps 19 the most crowded streets, an owner of a small piece of land, offered it to the London County Council at a price not in excess of its building value.</x:v>
      </x:c>
    </x:row>
    <x:row r="117" ht="62" customHeight="1">
      <x:c r="A117" s="41" t="str">
        <x:v>1894_0031</x:v>
      </x:c>
      <x:c r="B117" s="41" t="n">
        <x:v>1894</x:v>
      </x:c>
      <x:c r="C117" s="41" t="n">
        <x:v>1895</x:v>
      </x:c>
      <x:c r="D117" s="41" t="str">
        <x:v>governance; housing</x:v>
      </x:c>
      <x:c r="E117" s="41" t="str">
        <x:v>governance: board | housing: model dwellings</x:v>
      </x:c>
      <x:c r="F117" s="41" t="str">
        <x:v>No</x:v>
      </x:c>
      <x:c r="G117" s="41"/>
      <x:c r="H117" s="41" t="str">
        <x:v>No</x:v>
      </x:c>
      <x:c r="I117" s="41" t="str"/>
      <x:c r="J117" s="41" t="str">
        <x:v>https://wellcomelibrary.org/moh/report/b1801835x</x:v>
      </x:c>
      <x:c r="K117" s="41" t="str">
        <x:v>data/moh_raw/Whitechapel_1894_b1801835x_fulltext.txt</x:v>
      </x:c>
      <x:c r="L117" s="41" t="str">
        <x:v>It would have sufficed for a playground for the children, and have added a few cells to the lungs which constitute our breathing spaces. Your board offered to contribute �1000 towards the acquisition of the land. The London County Council did not purchase it. Whilst I am writing, Model Dwellings are being reared on it. Should not Dr. Hamer's Report have been submitted to his Council for its comments when it was forwarded to your Board for your observations? Those who understand the District and its conditions can only appreciate the requirements which are demanded for its effective improvement�and I am happy to report that your Board have resolved to add two Inspectors to your staff. Looking back, I am reminded with gratitude of the liberality with which you have acquiesced in my suggestions from time to time for more help. Twelve years ago your staff consisted of Two Inspectors: well was their work carried out. Now we shall have for the year 1895, 6 Inspectors, 1 Clerk, and 3 men employed in disinfection.</x:v>
      </x:c>
    </x:row>
    <x:row r="118" ht="62" customHeight="1">
      <x:c r="A118" s="41" t="str">
        <x:v>1894_0050</x:v>
      </x:c>
      <x:c r="B118" s="41" t="n">
        <x:v>1894</x:v>
      </x:c>
      <x:c r="C118" s="41" t="n">
        <x:v>1895</x:v>
      </x:c>
      <x:c r="D118" s="41" t="str">
        <x:v>governance; inequality; sanitary</x:v>
      </x:c>
      <x:c r="E118" s="41" t="str">
        <x:v>governance: summonses | inequality: working classes | sanitary: drainage</x:v>
      </x:c>
      <x:c r="F118" s="41" t="str">
        <x:v>Yes</x:v>
      </x:c>
      <x:c r="G118" s="41"/>
      <x:c r="H118" s="41" t="str">
        <x:v>No</x:v>
      </x:c>
      <x:c r="I118" s="41" t="str"/>
      <x:c r="J118" s="41" t="str">
        <x:v>https://wellcomelibrary.org/moh/report/b1801835x</x:v>
      </x:c>
      <x:c r="K118" s="41" t="str">
        <x:v>data/moh_raw/Whitechapel_1894_b1801835x_fulltext.txt</x:v>
      </x:c>
      <x:c r="L118" s="41" t="str">
        <x:v>It will be also seen from the said Statement that a large amount of Reconstruction of House Drainage has been carried out under our supervision during the year. Very great care and attention was paid during the year to the question of unwholesome food. Particulars of the articles seized and destroyed will be found at the foot of the Statement above referred to. A large number of summonses were issued under the Public Health (London) Act and the Housing of the Working Classes Act during the year. The fines and costs recovered amounted in all to �56. Is. A detailed statement of these summonses we also hand you herewith. It is gratifying to notice that there has been a very considerable decrease in the number of cases of Infectious Disease during the past year. The cases numbered in all 646, as against 1,383 in 1893, thus . showing a decrease of 737. Disinfection was promptly carried out in every instance. We have been enabled this year to have removed to Hospitals such patients as required removal without any of the difficulty experienced last year.</x:v>
      </x:c>
    </x:row>
    <x:row r="119" ht="62" customHeight="1">
      <x:c r="A119" s="41" t="str">
        <x:v>1894_0053</x:v>
      </x:c>
      <x:c r="B119" s="41" t="n">
        <x:v>1894</x:v>
      </x:c>
      <x:c r="C119" s="41" t="n">
        <x:v>1895</x:v>
      </x:c>
      <x:c r="D119" s="41" t="str">
        <x:v>sanitary</x:v>
      </x:c>
      <x:c r="E119" s="41" t="str">
        <x:v>sanitary: dirty, water supply</x:v>
      </x:c>
      <x:c r="F119" s="41" t="str">
        <x:v>No</x:v>
      </x:c>
      <x:c r="G119" s="41"/>
      <x:c r="H119" s="41" t="str">
        <x:v>No</x:v>
      </x:c>
      <x:c r="I119" s="41" t="str">
        <x:v>Wentworth Street</x:v>
      </x:c>
      <x:c r="J119" s="41" t="str">
        <x:v>https://wellcomelibrary.org/moh/report/b1801835x</x:v>
      </x:c>
      <x:c r="K119" s="41" t="str">
        <x:v>data/moh_raw/Whitechapel_1894_b1801835x_fulltext.txt</x:v>
      </x:c>
      <x:c r="L119" s="41" t="str">
        <x:v>Wentworth Street Exposing for sale 1 Trunk of Herrings unfit for human food � 15th Fined �5 and 3s. costs. In default of distress one month's imprisonment. Wentworth Street Exposing for sale 2 Trunks of Herrings unfit for human food � 15th Fined �2 10s. and 4s. costs. In default of distress 14 days' imprisonment. Wentworth Street Exposing for sale 3 Trunks of Herrings unfit for human food � 15th Fined �2 10s. and 5s. costs. In default of distress 14 days' imprisonment. N.B.�Defendant went to prison for 14 days. Wentworth Street Exposing for sale 2 Trunks of Herrings unfit for human food � 15th Fined �2 10s. and 4s. costs. In default of distress 14 days' imprisonment. 7, Oxford Street Walls and ceilings of the house dirty and dilapidated. The closet without water supply � 20th Work done. Summons withdrawn. 1, Tenter Buildings, St. Mark Street Yard defectively paved. Drinking water drawn from cistern situated in water closet and which cistern was without a cover � 20th Work done. Summons withdrawn. 8, Gun Street House in such a condition as to be unfit for human habitation April 14th House ordered to be closed forthwith. 9, Gun Street Ditto � 14th House ordered to be closed forthwith.</x:v>
      </x:c>
    </x:row>
    <x:row r="120" ht="62" customHeight="1">
      <x:c r="A120" s="41" t="str">
        <x:v>1894_0054</x:v>
      </x:c>
      <x:c r="B120" s="41" t="n">
        <x:v>1894</x:v>
      </x:c>
      <x:c r="C120" s="41" t="n">
        <x:v>1895</x:v>
      </x:c>
      <x:c r="D120" s="41" t="str">
        <x:v>sanitary</x:v>
      </x:c>
      <x:c r="E120" s="41" t="str">
        <x:v>sanitary: dirty, drain, nuisance</x:v>
      </x:c>
      <x:c r="F120" s="41" t="str">
        <x:v>No</x:v>
      </x:c>
      <x:c r="G120" s="41"/>
      <x:c r="H120" s="41" t="str">
        <x:v>Yes</x:v>
      </x:c>
      <x:c r="I120" s="41" t="str">
        <x:v>Wentworth Street; Fashion Street</x:v>
      </x:c>
      <x:c r="J120" s="41" t="str">
        <x:v>https://wellcomelibrary.org/moh/report/b1801835x</x:v>
      </x:c>
      <x:c r="K120" s="41" t="str">
        <x:v>data/moh_raw/Whitechapel_1894_b1801835x_fulltext.txt</x:v>
      </x:c>
      <x:c r="L120" s="41" t="str">
        <x:v>6, Wentworth Street House dirty and dilapidated. No water for domestic use � 30th Work done. Summons withdrawn. 16, Fashion Street Wilfully stopping up the drain May 4th Fined �2 and 7s. costs. 22, Fieldgate Street Underground room occupied as a dwelling � 8th Occupation discontinued. Summons withdrawn. 40 Situation of Premises. Nature of Nuisance or Complaint. Date of hearing of Summons. Result. 1894 22, Fieldgate Street Fowls kept in filthy sheds in yard, walls and ceilings of house dirty and dilapidated. Yard defectively paved and in a filthy state. No water to water closet owing to defective fittings. Open fireplace in yard without a proper flue May 8th Work done. Summons withdrawn. Tenter Buildings, St. Mark Street Walls and ceilings of passage and staircase dirty. Sinks on 1st and 2nd floor landings not trapped. The water closets on 1st and 2nd floors dirty � 8th Work done. Summons withdrawn. 21, Great Alie Street Yard defectively paved. Drain in yard not properly trapped. Pan of water closet filthy. No eaves gutter to water closet. Back basement, dirty and dilapidated walls and ceilings, and floor defective. Front area not drained and paving of such area defective � 8th Work done.</x:v>
      </x:c>
    </x:row>
    <x:row r="121" ht="62" customHeight="1">
      <x:c r="A121" s="41" t="str">
        <x:v>1894_0055</x:v>
      </x:c>
      <x:c r="B121" s="41" t="n">
        <x:v>1894</x:v>
      </x:c>
      <x:c r="C121" s="41" t="n">
        <x:v>1895</x:v>
      </x:c>
      <x:c r="D121" s="41" t="str">
        <x:v>housing; sanitary</x:v>
      </x:c>
      <x:c r="E121" s="41" t="str">
        <x:v>housing: overcrowded | sanitary: dirty, nuisance, sanitary</x:v>
      </x:c>
      <x:c r="F121" s="41" t="str">
        <x:v>No</x:v>
      </x:c>
      <x:c r="G121" s="41"/>
      <x:c r="H121" s="41" t="str">
        <x:v>Yes</x:v>
      </x:c>
      <x:c r="I121" s="41" t="str">
        <x:v>Hanbury Street</x:v>
      </x:c>
      <x:c r="J121" s="41" t="str">
        <x:v>https://wellcomelibrary.org/moh/report/b1801835x</x:v>
      </x:c>
      <x:c r="K121" s="41" t="str">
        <x:v>data/moh_raw/Whitechapel_1894_b1801835x_fulltext.txt</x:v>
      </x:c>
      <x:c r="L121" s="41" t="str">
        <x:v>Summons withdrawn. 178, Hanbury Street Closet situated in workshop stopped and in a filthy state � 10th Work done. Summons withdrawn. 58, White Lion Street Workshop overcrowded � 10th Abatement and prohibition orders made. Fined �1 and �2.2s. costs. *20, White's Row Bakehouse not properly ventilated, in a filthy state, and used as a sleeping apartment � 22nd Bakehouse ordered to be closed forthwith. Fined �2 and 5s. costs. In default of distress 14 days' imprisonment. 29, Old Montague Street Workshop without sufficient and suitable accomodation in the way of sanitary conveniences, and without separate accommodation for the females employed therein, and not properly ventilated. Roof of W.C. defective. Walls of W.C. dirty June 18th Work done. Summons withdrawn, 3s. costs, paid. 126, Old Montague Street Walls and ceiling of workshop dirty. Workshop not properly ventilated � 18th Work done. Summons withdrawn, 3s. costs, paid. 41 Situation of Premises. Nature of Nuisance or Complaint. Date of hearing of Summons. Result. 1894 7, Ely Place Workshop overcrowded June 18th Fined �1 and 3s. costs. 9, Shepherd Street Workshop without sufficient and suitable accommodation in the way of sanitary conveniences, and without separate accommodation for the females employed therein � 18th Work done.</x:v>
      </x:c>
    </x:row>
    <x:row r="122" ht="62" customHeight="1">
      <x:c r="A122" s="41" t="str">
        <x:v>1894_0057</x:v>
      </x:c>
      <x:c r="B122" s="41" t="n">
        <x:v>1894</x:v>
      </x:c>
      <x:c r="C122" s="41" t="n">
        <x:v>1895</x:v>
      </x:c>
      <x:c r="D122" s="41" t="str">
        <x:v>sanitary</x:v>
      </x:c>
      <x:c r="E122" s="41" t="str">
        <x:v>sanitary: dirty, drain, filth, nuisance, sanitary, water supply</x:v>
      </x:c>
      <x:c r="F122" s="41" t="str">
        <x:v>No</x:v>
      </x:c>
      <x:c r="G122" s="41"/>
      <x:c r="H122" s="41" t="str">
        <x:v>No</x:v>
      </x:c>
      <x:c r="I122" s="41" t="str">
        <x:v>Wentworth Street; Hanbury Street</x:v>
      </x:c>
      <x:c r="J122" s="41" t="str">
        <x:v>https://wellcomelibrary.org/moh/report/b1801835x</x:v>
      </x:c>
      <x:c r="K122" s="41" t="str">
        <x:v>data/moh_raw/Whitechapel_1894_b1801835x_fulltext.txt</x:v>
      </x:c>
      <x:c r="L122" s="41" t="str">
        <x:v>To pay �1 1s. costs. 5, Cox Square Workshops without sufficient and suitable accommodation in the way of sanitary conveniences, and without separate accommodation for the females employed therein and not properly ventilated. Roof of house defective. Walls and ceilings of staircase dirty and dilapidated. Closet without water supply and in a filthy state. Drain in yard not properly trapped. October 15th Order to abate nuisance within 7 days. 42 Situation of Premises. Nature of Nuisance or Complaint. Date of hearing of Summons. Result. 1894 7, Cox Square Workshop not properly ventilated. Walls and ceilings of workshop, staircase and landing dirty and dilapidated. Closet without water supply and in a filthy state. Drain in yard not properly trapped Oct. 15th Order to abate nuisance within 7 days. 32, Hanbury Street Gutters filled with liquid filth. Insufficient closet accommodation. Walls of staircase broken and dirty � 22nd House ordered to be closed forthwith. 5 and 7 Cox Square Failing to comply with the abatement orders made by the Magistrate on 15th October Nov. 15th Fined �5 and 2s. costs. Wentworth Street Exposing for sale a quantity of gurnets unfit for human food � 22nd Fined �5 and 2s. costs.</x:v>
      </x:c>
    </x:row>
    <x:row r="123" ht="62" customHeight="1">
      <x:c r="A123" s="41" t="str">
        <x:v>1895_0001</x:v>
      </x:c>
      <x:c r="B123" s="41" t="n">
        <x:v>1895</x:v>
      </x:c>
      <x:c r="C123" s="41" t="n">
        <x:v>1896</x:v>
      </x:c>
      <x:c r="D123" s="41" t="str">
        <x:v>governance; sanitary</x:v>
      </x:c>
      <x:c r="E123" s="41" t="str">
        <x:v>governance: local government board, medical officer | sanitary: sanitary</x:v>
      </x:c>
      <x:c r="F123" s="41" t="str">
        <x:v>No</x:v>
      </x:c>
      <x:c r="G123" s="41"/>
      <x:c r="H123" s="41" t="str">
        <x:v>No</x:v>
      </x:c>
      <x:c r="I123" s="41" t="str">
        <x:v>Commercial Road</x:v>
      </x:c>
      <x:c r="J123" s="41" t="str">
        <x:v>https://wellcomelibrary.org/moh/report/b19883687</x:v>
      </x:c>
      <x:c r="K123" s="41" t="str">
        <x:v>data/moh_raw/Whitechapel_1895_b19883687_fulltext.txt</x:v>
      </x:c>
      <x:c r="L123" s="41" t="str">
        <x:v>EHI 41 THE ANNUAL REPORT ON THE SANITARY CONDITION OF THE WHITECHAPEL DISTRICT (WITH VITAL AND OTHER STATISTICS), FOR THE YEAR 1S95. (CONSISTING OF 52 WEEKS), being the TWELFTH ANNUAL REPORT, BY JOSEPH LOANE, MEDICAL OFFICER OF HEALTH; diplomate in public health, university of cambridge fellow of the incorporated society of medical officers of health; associate of the college of state medicine; member of the sanitary institute; public vaccinator to the whitechapel union; examiner in, and instructor of, vaccination, by order local government board; &amp;c. LONDON: PRINTED BY GEORGE STEVENS &amp; CO., LTD. 19 &amp; 25A, Commercial Road, E. 1896. office of the borad of Works for the Whitechapel District. public health Department: No. 15, Great Alie Street, London, E. January lStlt, 1896. Gentlemen, I propose in this Report to give as much general and particular information as possible by means of Tables, so arranged that they may be readily compared with similar Tables for past years. This information will be supplemented by certain additional Tables. Where it. appears necessary to do so, I shall explain, and enlarge upon, the facts to be deduced from the figures comprising the Tables.</x:v>
      </x:c>
    </x:row>
    <x:row r="124" ht="62" customHeight="1">
      <x:c r="A124" s="41" t="str">
        <x:v>1895_0008</x:v>
      </x:c>
      <x:c r="B124" s="41" t="n">
        <x:v>1895</x:v>
      </x:c>
      <x:c r="C124" s="41" t="n">
        <x:v>1896</x:v>
      </x:c>
      <x:c r="D124" s="41" t="str">
        <x:v>governance; sanitary</x:v>
      </x:c>
      <x:c r="E124" s="41" t="str">
        <x:v>governance: board, local government board, medical officer | sanitary: sanitary</x:v>
      </x:c>
      <x:c r="F124" s="41" t="str">
        <x:v>No</x:v>
      </x:c>
      <x:c r="G124" s="41"/>
      <x:c r="H124" s="41" t="str">
        <x:v>No</x:v>
      </x:c>
      <x:c r="I124" s="41" t="str"/>
      <x:c r="J124" s="41" t="str">
        <x:v>https://wellcomelibrary.org/moh/report/b19883687</x:v>
      </x:c>
      <x:c r="K124" s="41" t="str">
        <x:v>data/moh_raw/Whitechapel_1895_b19883687_fulltext.txt</x:v>
      </x:c>
      <x:c r="L124" s="41" t="str">
        <x:v>6 Small-pox was present in the District to an extent which gave me considerable anxiety. I think perhaps I may best place on record the chief facts concerning the outbreak by reproducing the Tables of cases which accompanied my Reports to your Board. Copies of these Reports and the sheets referred to were forwarded to the Local Government Board. With the cases recorded upon these sheets the outbreak terminated. Several cases were subsequently notified, but they proved upon further investigation not to have been Small-pox. SMALL-POX IN WHITECHAPEL. Beport to the Board of Tforks for the Whitechapel District presented by the Medical Officer of Health on Monday, August 19th, 1895:� On Monday, the 22nd ultimo, I reported to your Board that Small-pox had appeared in the Whitechapel District in such numbers as to threaten an epidemic of the disease. Your Board having discussed the subject, referred the consideration to a special Sanitary Meeting to be convened on Wednesday, the 24th, at, 6 p.m. Power to act as they deemed necessary was given to the Committee.</x:v>
      </x:c>
    </x:row>
    <x:row r="125" ht="62" customHeight="1">
      <x:c r="A125" s="41" t="str">
        <x:v>1895_0010</x:v>
      </x:c>
      <x:c r="B125" s="41" t="n">
        <x:v>1895</x:v>
      </x:c>
      <x:c r="C125" s="41" t="n">
        <x:v>1896</x:v>
      </x:c>
      <x:c r="D125" s="41" t="str">
        <x:v>governance; housing; inequality</x:v>
      </x:c>
      <x:c r="E125" s="41" t="str">
        <x:v>governance: local government board | housing: houses, overcrowding | inequality: lodging-houses</x:v>
      </x:c>
      <x:c r="F125" s="41" t="str">
        <x:v>Yes</x:v>
      </x:c>
      <x:c r="G125" s="41"/>
      <x:c r="H125" s="41" t="str">
        <x:v>Yes</x:v>
      </x:c>
      <x:c r="I125" s="41" t="str"/>
      <x:c r="J125" s="41" t="str">
        <x:v>https://wellcomelibrary.org/moh/report/b19883687</x:v>
      </x:c>
      <x:c r="K125" s="41" t="str">
        <x:v>data/moh_raw/Whitechapel_1895_b19883687_fulltext.txt</x:v>
      </x:c>
      <x:c r="L125" s="41" t="str">
        <x:v>These houses are under certain regulations which are framed under the Lodging-houses Acts. These regulations are now administered by the London County Council. It is felt that shelters which are in themselves totally unsuitable for the purpose, and into which large numbers of the lowest class of persons are crowded, must influence very adversely the health of the District generally. At present, in the absence of regulations, it would be difficult to obtain a conviction before a Magistrate in a prosecution for overcrowding, because those allowances of space which can be enforced in the case of Registered Common Lodging-houses, are thought by many to be too liberal to be applied to Philanthropic Shelters. On August the 2nd a letter was received from the Secretary of the Local Government Board addressed to your Clerk. It called attention to the fact that Small-pox was on the increase in the Metropolis, and it pointed out that the season of the year was not the season when a large increase usually took place.</x:v>
      </x:c>
    </x:row>
    <x:row r="126" ht="62" customHeight="1">
      <x:c r="A126" s="41" t="str">
        <x:v>1895_0014</x:v>
      </x:c>
      <x:c r="B126" s="41" t="n">
        <x:v>1895</x:v>
      </x:c>
      <x:c r="C126" s="41" t="n">
        <x:v>1896</x:v>
      </x:c>
      <x:c r="D126" s="41" t="str">
        <x:v>governance; housing; inequality</x:v>
      </x:c>
      <x:c r="E126" s="41" t="str">
        <x:v>governance: local government board | housing: houses | inequality: infirmary, lodging-houses</x:v>
      </x:c>
      <x:c r="F126" s="41" t="str">
        <x:v>Yes</x:v>
      </x:c>
      <x:c r="G126" s="41"/>
      <x:c r="H126" s="41" t="str">
        <x:v>No</x:v>
      </x:c>
      <x:c r="I126" s="41" t="str">
        <x:v>Commercial Street; Whitechapel Road</x:v>
      </x:c>
      <x:c r="J126" s="41" t="str">
        <x:v>https://wellcomelibrary.org/moh/report/b19883687</x:v>
      </x:c>
      <x:c r="K126" s="41" t="str">
        <x:v>data/moh_raw/Whitechapel_1895_b19883687_fulltext.txt</x:v>
      </x:c>
      <x:c r="L126" s="41" t="str">
        <x:v>No re-vaccinated person properly so called contracted the disease. A second letter as to persons who had Small-pox, and who were not removed to hospital, was received from the Local Government Board. The matters mentioned therein have been included in the above Report. I have only to add that I have supplied the Infirmary Medical Superintendent with Vaccine Lymph sufficient to re-vaccinate the staff and many of the patients. So far as I can learn, only one woman�a scrubber at the Infirmarycontracted Small-pox. She had not been re-vaccinated. I believe that I have re-vaccinated nearly all the persons who are employed at the Salvation Army Shelter in the Whitechapel Road, and also the men employed at the Victoria Home, No. 1 in Commercial Street, where 8 of the cases occurred. As a matter of fact, therefore, 50 per cent, of the cases were reported as coming from Salvation Army Shelters, 25 per cent, from private houses, and 25 per cent, from Registered Common Lodging-houses, the Whitechapel Infirmary, and from all outside Philanthropic Shelters. At present about 16 of the cases may be centres from which fresh cases may arise, and to these our attention must remain for the present directed.</x:v>
      </x:c>
    </x:row>
    <x:row r="127" ht="62" customHeight="1">
      <x:c r="A127" s="41" t="str">
        <x:v>1895_0029</x:v>
      </x:c>
      <x:c r="B127" s="41" t="n">
        <x:v>1895</x:v>
      </x:c>
      <x:c r="C127" s="41" t="n">
        <x:v>1896</x:v>
      </x:c>
      <x:c r="D127" s="41" t="str">
        <x:v>sanitary</x:v>
      </x:c>
      <x:c r="E127" s="41" t="str">
        <x:v>sanitary: drainage, refuse</x:v>
      </x:c>
      <x:c r="F127" s="41" t="str">
        <x:v>No</x:v>
      </x:c>
      <x:c r="G127" s="41"/>
      <x:c r="H127" s="41" t="str">
        <x:v>No</x:v>
      </x:c>
      <x:c r="I127" s="41" t="str"/>
      <x:c r="J127" s="41" t="str">
        <x:v>https://wellcomelibrary.org/moh/report/b19883687</x:v>
      </x:c>
      <x:c r="K127" s="41" t="str">
        <x:v>data/moh_raw/Whitechapel_1895_b19883687_fulltext.txt</x:v>
      </x:c>
      <x:c r="L127" s="41" t="str">
        <x:v>As a matter of routine work, every system of house drainage is tested after a case of infectious disease. The disinfecting apparatus has proved most serviceable during the year, and the passage of superheated steam through articles which have been exposed to infection no doubt has done much to prevent a larger number of cases of disease than is here recorded. As a matter germane to public health I would express satisfaction with the works carried on at the Destructor Yard, associated as they are with the systematic removal and destruction of all house refuse. The pail system has been now so far extended that practically a daily collection of refuse takes place. Your Engineer and Surveyor will probably report upon the general work, so far as "dusting and slopping" is concerned, therefore it would be superfluous to enlarge upon the subject in this Report. You have added another public convenience during the year to the two which were already in use. These are all working satisfactorily, and are movements in the right direction.</x:v>
      </x:c>
    </x:row>
    <x:row r="128" ht="62" customHeight="1">
      <x:c r="A128" s="41" t="str">
        <x:v>1895_0030</x:v>
      </x:c>
      <x:c r="B128" s="41" t="n">
        <x:v>1895</x:v>
      </x:c>
      <x:c r="C128" s="41" t="n">
        <x:v>1896</x:v>
      </x:c>
      <x:c r="D128" s="41" t="str">
        <x:v>housing; sanitary</x:v>
      </x:c>
      <x:c r="E128" s="41" t="str">
        <x:v>housing: houses | sanitary: drainage, drains, sewer, sewers</x:v>
      </x:c>
      <x:c r="F128" s="41" t="str">
        <x:v>No</x:v>
      </x:c>
      <x:c r="G128" s="41"/>
      <x:c r="H128" s="41" t="str">
        <x:v>No</x:v>
      </x:c>
      <x:c r="I128" s="41" t="str"/>
      <x:c r="J128" s="41" t="str">
        <x:v>https://wellcomelibrary.org/moh/report/b19883687</x:v>
      </x:c>
      <x:c r="K128" s="41" t="str">
        <x:v>data/moh_raw/Whitechapel_1895_b19883687_fulltext.txt</x:v>
      </x:c>
      <x:c r="L128" s="41" t="str">
        <x:v>Your Inspectors have been most energetic in improving the drainage of the houses within the District. I find that 655 drains have been altered, improved, or re-constructed during the year. Generally the existing frontage into the sewer suffices, but it was necessary that 34 new frontages should be inserted. "Combined drainage," which has been discussed ad nauseam, at your meetings, has been a burning question in some cases, but difficulties which might have been troublesome have been removed by the kindly feeling which exists between Owners of property aud your Officers. During the past 3 years no fewer than 2,061 drainage improvements have been effected, and it requires no assurance from me to convince you of the important effect which has thus been produced upon the conditions which are requisite for health within those bouses which have been so improved. I am glad to know that your Engineer and Purveyor, Mr. J. Paget Waddington, proposes to introduce many improvements, so far as the general sewers of the District which are under your control are concerned.</x:v>
      </x:c>
    </x:row>
    <x:row r="129" ht="62" customHeight="1">
      <x:c r="A129" s="41" t="str">
        <x:v>1895_0033</x:v>
      </x:c>
      <x:c r="B129" s="41" t="n">
        <x:v>1895</x:v>
      </x:c>
      <x:c r="C129" s="41" t="n">
        <x:v>1896</x:v>
      </x:c>
      <x:c r="D129" s="41" t="str">
        <x:v>governance; sanitary</x:v>
      </x:c>
      <x:c r="E129" s="41" t="str">
        <x:v>governance: board, inspector, vestry | sanitary: water supply</x:v>
      </x:c>
      <x:c r="F129" s="41" t="str">
        <x:v>No</x:v>
      </x:c>
      <x:c r="G129" s="41"/>
      <x:c r="H129" s="41" t="str">
        <x:v>No</x:v>
      </x:c>
      <x:c r="I129" s="41" t="str"/>
      <x:c r="J129" s="41" t="str">
        <x:v>https://wellcomelibrary.org/moh/report/b19883687</x:v>
      </x:c>
      <x:c r="K129" s="41" t="str">
        <x:v>data/moh_raw/Whitechapel_1895_b19883687_fulltext.txt</x:v>
      </x:c>
      <x:c r="L129" s="41" t="str">
        <x:v>It is hoped that soon arrangements will be made so that their services may be available at all hours. If I do not discuss this question at length in my Beport it is not because I deem it of less importance than usual, but on Water Supply account of the fact that, owing to the Local Governin the ment Board investigation into the action of the East Whiteehapel London Water Company, the matter must be considered District. still as being sub-judice. The Inquiry was instigated by the Hackney Vestry, and officials from some Metropolitan Districts attended to give evidence. I sent some particulars to the Hackney Vestry concerning short and intermittent water supply to parts of the District, and I proffered the services of an Inspector to prove the facts. Of course it could not be proved that the deficiency of water 17 was the cause of any special sickness, although many persons were much inconvenienced by the limited supply which was given, and the awkward time which was chosen for its distribution.</x:v>
      </x:c>
    </x:row>
    <x:row r="130" ht="62" customHeight="1">
      <x:c r="A130" s="41" t="str">
        <x:v>1895_0034</x:v>
      </x:c>
      <x:c r="B130" s="41" t="n">
        <x:v>1895</x:v>
      </x:c>
      <x:c r="C130" s="41" t="n">
        <x:v>1896</x:v>
      </x:c>
      <x:c r="D130" s="41" t="str">
        <x:v>governance; housing; inequality</x:v>
      </x:c>
      <x:c r="E130" s="41" t="str">
        <x:v>governance: medical officer | housing: houses | inequality: lodgers, lodging-houses</x:v>
      </x:c>
      <x:c r="F130" s="41" t="str">
        <x:v>Yes</x:v>
      </x:c>
      <x:c r="G130" s="41"/>
      <x:c r="H130" s="41" t="str">
        <x:v>No</x:v>
      </x:c>
      <x:c r="I130" s="41" t="str"/>
      <x:c r="J130" s="41" t="str">
        <x:v>https://wellcomelibrary.org/moh/report/b19883687</x:v>
      </x:c>
      <x:c r="K130" s="41" t="str">
        <x:v>data/moh_raw/Whitechapel_1895_b19883687_fulltext.txt</x:v>
      </x:c>
      <x:c r="L130" s="41" t="str">
        <x:v>There has been a Bill drafted for presentation to Parliament next Session to promote the supply of sea water to the inhabitants of London. I wish it every success. Kegistered Common Lodging-houses have now been controlled by the London County Council for more than a year. I have been supplied by the Medical Officer cT Health with a list of such houses. I have myself inspected many of them and am able to bear witness to the thorough manner in which the work is being performed. The total has again been reduced to 80. Many improvements of a structural character have been, and are being, carried out. It is still, however, certain that many of the existing houses require to be dealt with. I am aware that in some cases leases will shortly expire, and then no doubt the Surveyor to the Council will interpose to prevent a continuance of the Licenses. The Lodging-houses provide accommodation for 5,612 persons, who are, generally speaking, not stationary for long at a time. I understand that where the lodgers are selected by the deputies, as is the case with the " Victoria Homes," and with the new house of Mr.</x:v>
      </x:c>
    </x:row>
    <x:row r="131" ht="62" customHeight="1">
      <x:c r="A131" s="41" t="str">
        <x:v>1895_0038</x:v>
      </x:c>
      <x:c r="B131" s="41" t="n">
        <x:v>1895</x:v>
      </x:c>
      <x:c r="C131" s="41" t="n">
        <x:v>1896</x:v>
      </x:c>
      <x:c r="D131" s="41" t="str">
        <x:v>governance; housing</x:v>
      </x:c>
      <x:c r="E131" s="41" t="str">
        <x:v>governance: board | housing: overcrowded, overcrowding</x:v>
      </x:c>
      <x:c r="F131" s="41" t="str">
        <x:v>No</x:v>
      </x:c>
      <x:c r="G131" s="41"/>
      <x:c r="H131" s="41" t="str">
        <x:v>No</x:v>
      </x:c>
      <x:c r="I131" s="41" t="str"/>
      <x:c r="J131" s="41" t="str">
        <x:v>https://wellcomelibrary.org/moh/report/b19883687</x:v>
      </x:c>
      <x:c r="K131" s="41" t="str">
        <x:v>data/moh_raw/Whitechapel_1895_b19883687_fulltext.txt</x:v>
      </x:c>
      <x:c r="L131" s="41" t="str">
        <x:v>19 It is unfortunate that excepting where bye-laws are in use, or in the case of the Factory and Workshops Acts, no help is given by Public Health Statutes in fixing the minimum air space to be allowed per head. Each case must be dealt with upon its merits. Recently at the South wark Police Court, after many hearings, Mr. Slade decided that the Blackfriars' Shelter might accommodate 650 persons without, in his opinion, being overcrowded. Nearly double that number had upon certain occasions been admitted. Since this decision was given Mr. Lamb and Dr. Bremner representing the Salvation Army, and myself acting on behalf of the Board, had a conference. We agreed that although I had in no way altered my opinion as to the minimum of floor space per head which should be allowed, yet if the shelters in the Whiteehapel District were provided with bunks or beds only to accommodate the number which, according to Mr. Slade's opinion, might be accommodated at their Blackfriars Shelter without overcrowding existing, then no action would be recommended to be taken by the Board.</x:v>
      </x:c>
    </x:row>
    <x:row r="132" ht="62" customHeight="1">
      <x:c r="A132" s="41" t="str">
        <x:v>1895_0044</x:v>
      </x:c>
      <x:c r="B132" s="41" t="n">
        <x:v>1895</x:v>
      </x:c>
      <x:c r="C132" s="41" t="n">
        <x:v>1896</x:v>
      </x:c>
      <x:c r="D132" s="41" t="str">
        <x:v>governance; housing</x:v>
      </x:c>
      <x:c r="E132" s="41" t="str">
        <x:v>governance: board, inspector | housing: overcrowded</x:v>
      </x:c>
      <x:c r="F132" s="41" t="str">
        <x:v>No</x:v>
      </x:c>
      <x:c r="G132" s="41"/>
      <x:c r="H132" s="41" t="str">
        <x:v>No</x:v>
      </x:c>
      <x:c r="I132" s="41" t="str"/>
      <x:c r="J132" s="41" t="str">
        <x:v>https://wellcomelibrary.org/moh/report/b19883687</x:v>
      </x:c>
      <x:c r="K132" s="41" t="str">
        <x:v>data/moh_raw/Whitechapel_1895_b19883687_fulltext.txt</x:v>
      </x:c>
      <x:c r="L132" s="41" t="str">
        <x:v>Now of course overlapping in such cases might mean friction between officers of different authorities�it certainly means waste of time. I have hitherto avoided such difficulty by a friendly co-operation with the chief Factory Inspector. To prevent misunderstanding in the working of the new Act, I have been in communication with the Home Office Officials, and I hope soon to have all the machinery ready for carrying out that portion of the Act which belongs to the Public Health Department of your Board. The Act commences by stating that a factory or a workshop shall "be deemed to be so overcrowded as to be "dangerous or injurious to the health of the persons employed therein, "if the number of cubic feet of space in any room therein bears to the "number of persons employed at once in the room a proportion less "than 250, or, during any period of overtime, 400 cubic feet of space to "every person." Power is provided for the Secretary of State to vary these allowances under certain circumstances.</x:v>
      </x:c>
    </x:row>
    <x:row r="133" ht="62" customHeight="1">
      <x:c r="A133" s="41" t="str">
        <x:v>1895_0045</x:v>
      </x:c>
      <x:c r="B133" s="41" t="n">
        <x:v>1895</x:v>
      </x:c>
      <x:c r="C133" s="41" t="n">
        <x:v>1896</x:v>
      </x:c>
      <x:c r="D133" s="41" t="str">
        <x:v>governance; sanitary</x:v>
      </x:c>
      <x:c r="E133" s="41" t="str">
        <x:v>governance: inspector, sanitary authority | sanitary: nuisance</x:v>
      </x:c>
      <x:c r="F133" s="41" t="str">
        <x:v>No</x:v>
      </x:c>
      <x:c r="G133" s="41"/>
      <x:c r="H133" s="41" t="str">
        <x:v>No</x:v>
      </x:c>
      <x:c r="I133" s="41" t="str"/>
      <x:c r="J133" s="41" t="str">
        <x:v>https://wellcomelibrary.org/moh/report/b19883687</x:v>
      </x:c>
      <x:c r="K133" s="41" t="str">
        <x:v>data/moh_raw/Whitechapel_1895_b19883687_fulltext.txt</x:v>
      </x:c>
      <x:c r="L133" s="41" t="str">
        <x:v>It would appear that it is the duty of the Sanitary Authority to enforce this section so far as ordinary day labour is concerned, and for overtime work the Factory Inspector becomes responsible. It would simplify matters for one of the officers to undertake the whole duty contained in the section I have quoted. The number of persons who may legally be employed in each room must be posted up in the room. If one officer saw to this arrangement it would prevent the possibility of duplicating the work. In the 1878 Factory and Workshop Act it was enacted that any nuisance discovered by the Factory Inspector should be brought to the notice of the Sanitary Authority. In the 1891 Act it was competent for the Home Office Inspector to take proceedings in the event of the Sanitary Authority not doing so "within a reasonable time." In such case all costs incurred could be recovered from the local authority. It is now declared that a reasonable time means "within one month." It is further provided that the Sanitary Authority shall inform the Factory Inspector of the proceedings taken by them in consequence of the notice which they have received from him.</x:v>
      </x:c>
    </x:row>
    <x:row r="134" ht="62" customHeight="1">
      <x:c r="A134" s="41" t="str">
        <x:v>1895_0050</x:v>
      </x:c>
      <x:c r="B134" s="41" t="n">
        <x:v>1895</x:v>
      </x:c>
      <x:c r="C134" s="41" t="n">
        <x:v>1896</x:v>
      </x:c>
      <x:c r="D134" s="41" t="str">
        <x:v>governance; sanitary</x:v>
      </x:c>
      <x:c r="E134" s="41" t="str">
        <x:v>governance: inspector | sanitary: sanitary</x:v>
      </x:c>
      <x:c r="F134" s="41" t="str">
        <x:v>No</x:v>
      </x:c>
      <x:c r="G134" s="41"/>
      <x:c r="H134" s="41" t="str">
        <x:v>No</x:v>
      </x:c>
      <x:c r="I134" s="41" t="str"/>
      <x:c r="J134" s="41" t="str">
        <x:v>https://wellcomelibrary.org/moh/report/b19883687</x:v>
      </x:c>
      <x:c r="K134" s="41" t="str">
        <x:v>data/moh_raw/Whitechapel_1895_b19883687_fulltext.txt</x:v>
      </x:c>
      <x:c r="L134" s="41" t="str">
        <x:v>That a reasonable temperature should be maintained in each room where persons are employed is an obvious necessity. This is arranged for by Section 82. The compulsory use of fans and artificial ventilation where processes are carried on by which any gas, vapour or other impurity is generated and inhaled by the workers to an injurious extent is made necessary by Section 33. In Section 35 we find "in every place where Section 22 of the Public Health Acts Amendment Act, 1890, is not in force, every factory or "workshop shall be provided with sufficient and suitable accommodation "in the way of sanitary conveniences, having regard to the number of "persons employed in, or in attendance at the factory or workshop, and "also where persons of both sexes are employed or intended to be "employed, or in attendance, with proper separate accommodation for "persons of each sex." Section 41 makes it incumbent upon the occupier of a workshop within twelve months from the commencement of the Act, to notify to the Inspector for the district information as to the name of the workshop, the place where it is situate, the address to which he desires his letters to be addressed, the nature of the work, and the name of the person or firm under which the business of the workshop is carried on.</x:v>
      </x:c>
    </x:row>
    <x:row r="135" ht="62" customHeight="1">
      <x:c r="A135" s="41" t="str">
        <x:v>1895_0067</x:v>
      </x:c>
      <x:c r="B135" s="41" t="n">
        <x:v>1895</x:v>
      </x:c>
      <x:c r="C135" s="41" t="n">
        <x:v>1896</x:v>
      </x:c>
      <x:c r="D135" s="41" t="str">
        <x:v>governance; sanitary</x:v>
      </x:c>
      <x:c r="E135" s="41" t="str">
        <x:v>governance: summonses | sanitary: drainage</x:v>
      </x:c>
      <x:c r="F135" s="41" t="str">
        <x:v>No</x:v>
      </x:c>
      <x:c r="G135" s="41"/>
      <x:c r="H135" s="41" t="str">
        <x:v>No</x:v>
      </x:c>
      <x:c r="I135" s="41" t="str"/>
      <x:c r="J135" s="41" t="str">
        <x:v>https://wellcomelibrary.org/moh/report/b19883687</x:v>
      </x:c>
      <x:c r="K135" s="41" t="str">
        <x:v>data/moh_raw/Whitechapel_1895_b19883687_fulltext.txt</x:v>
      </x:c>
      <x:c r="L135" s="41" t="str">
        <x:v>It will be seen that a very large amount of work has been accomplished. In many instances considerable structural alterations to property have taken place. It will also be seen from the said Statement that a very large amount of Reconstruction and improvement of House Drainage has been carried out under our supervision during the year. Very great attention was paid to the question of unwholesome food. Particulars of the Articles seized and destroyed will be found at the foot of the Statement above referred to. Fifty-seven Summonses were issued under the Public Health (London) Act. The Fines and Costs recovered amounted in all to �49 5s. A detailed statement of these summonses we also hand you herewith. Last year we reported that 040 cases of Infectious Disease had occurred, but this year we have to report an increase of 428 cases, making the total for the year 1,074. There were, as will be seen by the Table of Zymotic Diseases for the year, 99 cases of Small-pox. We do not propose making any comment upon the epidemic, but simply draw attention to the fact that in this year's epidemic 13 cases less were notified than was the case in the epidemic of 1893.</x:v>
      </x:c>
    </x:row>
    <x:row r="136" ht="62" customHeight="1">
      <x:c r="A136" s="41" t="str">
        <x:v>1895_0073</x:v>
      </x:c>
      <x:c r="B136" s="41" t="n">
        <x:v>1895</x:v>
      </x:c>
      <x:c r="C136" s="41" t="n">
        <x:v>1896</x:v>
      </x:c>
      <x:c r="D136" s="41" t="str">
        <x:v>sanitary</x:v>
      </x:c>
      <x:c r="E136" s="41" t="str">
        <x:v>sanitary: nuisance, sanitary</x:v>
      </x:c>
      <x:c r="F136" s="41" t="str">
        <x:v>No</x:v>
      </x:c>
      <x:c r="G136" s="41"/>
      <x:c r="H136" s="41" t="str">
        <x:v>No</x:v>
      </x:c>
      <x:c r="I136" s="41" t="str">
        <x:v>Hanbury Street</x:v>
      </x:c>
      <x:c r="J136" s="41" t="str">
        <x:v>https://wellcomelibrary.org/moh/report/b19883687</x:v>
      </x:c>
      <x:c r="K136" s="41" t="str">
        <x:v>data/moh_raw/Whitechapel_1895_b19883687_fulltext.txt</x:v>
      </x:c>
      <x:c r="L136" s="41" t="str">
        <x:v>27, Old Montague Street Bakehouse in such a condition as to render it unfit for use � 21st Summons dismissed on the objection that the person summoned was not the occupier. N.B.-�The required works were subsequently carried out. 148, Old Montague Street Bakehouse in such a condition as to render it unfit for use � 21st Order to put Bakehouse in a proper sanitary condition within 7 days. N.B.�Bakehouse subsequently disused. 12, Hanbury Street The carrying on the business of frying fish, from which noxious and offensive effluvia arises � 21st Nuisance abated. Summons withdrawn. 19, Hanbury Street The carrying on the business of frying fish from which noxious and offensive effluvia arises � 21st Nuisance abated. Summons withdrawn. 4, Booth Street Insufficient water closet accommodation. The water apparatus in existing water closet defective April 9 th Order to carry out necessary works within 14 days. 45 Situation of Premises. Nature of Nuisance or Complaint. Date of hearing of Summons. Result. 6, Booth Street No proper flush of water to the water closet. The yard is defectively paved 1895. April 9th Order to carry out necessary works within 14 days.</x:v>
      </x:c>
    </x:row>
    <x:row r="137" ht="62" customHeight="1">
      <x:c r="A137" s="41" t="str">
        <x:v>1895_0074</x:v>
      </x:c>
      <x:c r="B137" s="41" t="n">
        <x:v>1895</x:v>
      </x:c>
      <x:c r="C137" s="41" t="n">
        <x:v>1896</x:v>
      </x:c>
      <x:c r="D137" s="41" t="str">
        <x:v>disease; sanitary</x:v>
      </x:c>
      <x:c r="E137" s="41" t="str">
        <x:v>disease: scarlet fever | sanitary: dirty, drain, sanitary</x:v>
      </x:c>
      <x:c r="F137" s="41" t="str">
        <x:v>No</x:v>
      </x:c>
      <x:c r="G137" s="41"/>
      <x:c r="H137" s="41" t="str">
        <x:v>No</x:v>
      </x:c>
      <x:c r="I137" s="41" t="str">
        <x:v>Wentworth Street</x:v>
      </x:c>
      <x:c r="J137" s="41" t="str">
        <x:v>https://wellcomelibrary.org/moh/report/b19883687</x:v>
      </x:c>
      <x:c r="K137" s="41" t="str">
        <x:v>data/moh_raw/Whitechapel_1895_b19883687_fulltext.txt</x:v>
      </x:c>
      <x:c r="L137" s="41" t="str">
        <x:v>37, Old Montague Street The water closet is choked and in a filthy state. The walls of yard, washhouse and water closet are dirty � 18th Work done. Summons withdrawn. Finch Street Exposing a child in the public thoroughfare while suffering from Scarlet Fever ,, 18th Insufficient evidence. Summons withdrawn on the suggestion of the Magistrate. Finch Street Removing articles of bedding, &amp;c., which had been exposed to infection from Scarlet Fever without previous disinfection May 7th Fined �1 and 2s. costs. In default of distress 7 days' imprisonment. 117, Wentworth Street Exposing for sale a quantity of eggs unfit for human food � 9th Fined �20 and 12s. costs. In default of distress C weeks' imprisonment. 8, Duncan Street Rain water pipes defective. Yard defectively paved � 27th Work done. Summons withdrawn. 11, Duncan Street Rain water pipes and eave gutters defective � 27th Work done. Summons withdrawn. 14, Great Alie Street The drain is defective � 27th Work done. Summons withdrawn. 27, Old Montague Street The Bakehouse is used as a sleeping apartment. No ceiling to Bakehouse. Floor above defective. Bakehouse not properly ventilated. July 4th Work done. Summons withdrawn. 3, Spelman Street Workshop without sufficient and suitable accommodation in the way of sanitary conveniences.</x:v>
      </x:c>
    </x:row>
    <x:row r="138" ht="62" customHeight="1">
      <x:c r="A138" s="41" t="str">
        <x:v>1895_0075</x:v>
      </x:c>
      <x:c r="B138" s="41" t="n">
        <x:v>1895</x:v>
      </x:c>
      <x:c r="C138" s="41" t="n">
        <x:v>1896</x:v>
      </x:c>
      <x:c r="D138" s="41" t="str">
        <x:v>housing; sanitary</x:v>
      </x:c>
      <x:c r="E138" s="41" t="str">
        <x:v>housing: overcrowded | sanitary: drain, nuisance, sanitary, water supply</x:v>
      </x:c>
      <x:c r="F138" s="41" t="str">
        <x:v>No</x:v>
      </x:c>
      <x:c r="G138" s="41"/>
      <x:c r="H138" s="41" t="str">
        <x:v>Yes</x:v>
      </x:c>
      <x:c r="I138" s="41" t="str">
        <x:v>Hanbury Street</x:v>
      </x:c>
      <x:c r="J138" s="41" t="str">
        <x:v>https://wellcomelibrary.org/moh/report/b19883687</x:v>
      </x:c>
      <x:c r="K138" s="41" t="str">
        <x:v>data/moh_raw/Whitechapel_1895_b19883687_fulltext.txt</x:v>
      </x:c>
      <x:c r="L138" s="41" t="str">
        <x:v>Workshop not properly ventilated � 31st Order to carry out necessary works within 14 days. 141, Hanbury Street Workshop without sufficient and suitable accommodation in the way of sanitary conveniences. Workshop overcrowded and not properly ventilated ,, 31st Order to carry out necessary works within 14 days 62, Cbicksand Street Workshop without sufficient and suitable accommodation in the way of sanitary conveniences. Workshop not properly ventilated � 31st Order to close Workshop within 14 days. 46 Situation of Premises. Nature of Nuisance or Complaint. Date of hearing of Summons. Result. 20, Osborn Street Water closets choked and without proper water supply. Drain in yard not properly trapped. Yard defectively paved 1895. July 31st Order to abate nuisance within 14 days. 22, Heneage Street Workshop not properly ventilated and without sufficient light � 31st Order to close Workshop within 14 days. 20, Corbett's Court Workshops overcrowded and not properly ventilated, and without sufficient and suitable accommodation in the way of sanitary conveniences � 31st Order to close Workshop within 14 days. 80, Pelham Street Selling to a person 30 bags of onions unfit for human food ,, 31st Fined �5. In default of distress one month's imprisonment. Cobb's Yard For having a large quantity of onions deposited in a shed for the purpose of sale � 31st Summons dismissed.</x:v>
      </x:c>
    </x:row>
    <x:row r="139" ht="62" customHeight="1">
      <x:c r="A139" s="41" t="str">
        <x:v>1895_0076</x:v>
      </x:c>
      <x:c r="B139" s="41" t="n">
        <x:v>1895</x:v>
      </x:c>
      <x:c r="C139" s="41" t="n">
        <x:v>1896</x:v>
      </x:c>
      <x:c r="D139" s="41" t="str">
        <x:v>sanitary</x:v>
      </x:c>
      <x:c r="E139" s="41" t="str">
        <x:v>sanitary: dirty, nuisance, sanitary</x:v>
      </x:c>
      <x:c r="F139" s="41" t="str">
        <x:v>No</x:v>
      </x:c>
      <x:c r="G139" s="41"/>
      <x:c r="H139" s="41" t="str">
        <x:v>No</x:v>
      </x:c>
      <x:c r="I139" s="41" t="str">
        <x:v>Wentworth Street</x:v>
      </x:c>
      <x:c r="J139" s="41" t="str">
        <x:v>https://wellcomelibrary.org/moh/report/b19883687</x:v>
      </x:c>
      <x:c r="K139" s="41" t="str">
        <x:v>data/moh_raw/Whitechapel_1895_b19883687_fulltext.txt</x:v>
      </x:c>
      <x:c r="L139" s="41" t="str">
        <x:v>Insufficient evidence. 39, Pelham Street Workshop not properly ventilated and without sufficient and suitable accommodation in the way of sanitary conveniences Aug. 21st Order to close Workshop forthwith. 6, Fort Street Walls and ceilings of house dirty. Yard defectively paved. Walls of yard dirty. Pan of water closet foul. No water to water closet owing to defective fittings � 31st Order to close premises within 7 days. 2, Fisher's Alley (South) First floor room used as a Workshop totally unfit for such use � 31st Order to close Workshop forthwith. 2, Fisher's Alley (North) First floor back room used as a Workshop totally unfit for such use ,, 31st Order to close Workshop forthwith. 43, Buxton Street Workshops not properly ventilated and without sufficient and suitable accommodation in the way of sanitary conveniences � 31st Order to close Workshops forthwith. 41, Dunk Street Roof of house defective � 31st Work done. Summons withdrawn. 47 Situation of Premises. Nature of Nuisance or Complaint. Date of hearing of Summons. Result. "Wentworth Street Exposing for sale a quantity of prunes unfit for human food 1895. Sept. 12th Fined �10 and 5s. costs. In default of distress one month's imprisonment.</x:v>
      </x:c>
    </x:row>
    <x:row r="140" ht="62" customHeight="1">
      <x:c r="A140" s="41" t="str">
        <x:v>1896_0014</x:v>
      </x:c>
      <x:c r="B140" s="41" t="n">
        <x:v>1896</x:v>
      </x:c>
      <x:c r="C140" s="41" t="n">
        <x:v>1897</x:v>
      </x:c>
      <x:c r="D140" s="41" t="str">
        <x:v>disease; sanitary</x:v>
      </x:c>
      <x:c r="E140" s="41" t="str">
        <x:v>disease: fever | sanitary: refuse</x:v>
      </x:c>
      <x:c r="F140" s="41" t="str">
        <x:v>No</x:v>
      </x:c>
      <x:c r="G140" s="41"/>
      <x:c r="H140" s="41" t="str">
        <x:v>No</x:v>
      </x:c>
      <x:c r="I140" s="41" t="str"/>
      <x:c r="J140" s="41" t="str">
        <x:v>https://wellcomelibrary.org/moh/report/b18038244</x:v>
      </x:c>
      <x:c r="K140" s="41" t="str">
        <x:v>data/moh_raw/Whitechapel_1896_b18038244_fulltext.txt</x:v>
      </x:c>
      <x:c r="L140" s="41" t="str">
        <x:v>Before leaving this subject it were well to state that one of the objections most frequently raised against vaccination, is, that it is opposed to religion and that it is contrary to Bible teaching. The Jews have commenced to take up this line of argument. Hear what the Chief Rabbi says upon this point:�"I am greatly pained at seeing in the Report of the proceedings "at tiie Worship Street Police Court yesterday, that several Jews residing "in Whitechapel have refused to have their children vaccinated, on the plea "that they objected to do so on religious grounds. I hasten to assure you "that there is not the slightest foundation for so silly and absurd a "statement I have at once taken steps, through the medium of the "* Jewish Chronicle,' to state that Jewish parents who refuse to have "their children vaccinated, are guilty of a grave infraction, both of the "Divine Law, and the law of the land." Enteric Fever has been frequently notified during the year, but the deaths from this disease have been few.</x:v>
      </x:c>
    </x:row>
    <x:row r="141" ht="62" customHeight="1">
      <x:c r="A141" s="41" t="str">
        <x:v>1896_0015</x:v>
      </x:c>
      <x:c r="B141" s="41" t="n">
        <x:v>1896</x:v>
      </x:c>
      <x:c r="C141" s="41" t="n">
        <x:v>1897</x:v>
      </x:c>
      <x:c r="D141" s="41" t="str">
        <x:v>disease; housing</x:v>
      </x:c>
      <x:c r="E141" s="41" t="str">
        <x:v>disease: fever, typhoid | housing: rooms</x:v>
      </x:c>
      <x:c r="F141" s="41" t="str">
        <x:v>No</x:v>
      </x:c>
      <x:c r="G141" s="41"/>
      <x:c r="H141" s="41" t="str">
        <x:v>No</x:v>
      </x:c>
      <x:c r="I141" s="41" t="str"/>
      <x:c r="J141" s="41" t="str">
        <x:v>https://wellcomelibrary.org/moh/report/b18038244</x:v>
      </x:c>
      <x:c r="K141" s="41" t="str">
        <x:v>data/moh_raw/Whitechapel_1896_b18038244_fulltext.txt</x:v>
      </x:c>
      <x:c r="L141" s="41" t="str">
        <x:v>I received from Mr. Wrack a report concerning this disease, after a visit to the house, made by him at my request. I append a copy of the Report:� "Four cases of Typhoid Fever in one family have recently been notified. The "first was that of a boy aged 4 years, notified on the 23rd October; he died in the "Hospital. The second was a girl aged 3 years, notified on the 2Gth November; "she has been attended at home during her illness. The third and fourth cases, a "girl aged 10 years and a boy aged 15 months, were notified on the 28th "December; they are also being attended at home. The house consists of a "shop on the ground floor and four rooms above. On the first floor the front "room is occupied by the sick children, and the back room is used as a kitchen. "On the second floor are two bedrooms. The family now consists of the father, "mother, and seven children�four girls and three boys, whose ages are 18, 1G, 14, "12, 10 and 3 years, and 15 months, respectively.</x:v>
      </x:c>
    </x:row>
    <x:row r="142" ht="62" customHeight="1">
      <x:c r="A142" s="41" t="str">
        <x:v>1896_0016</x:v>
      </x:c>
      <x:c r="B142" s="41" t="n">
        <x:v>1896</x:v>
      </x:c>
      <x:c r="C142" s="41" t="n">
        <x:v>1897</x:v>
      </x:c>
      <x:c r="D142" s="41" t="str">
        <x:v>sanitary</x:v>
      </x:c>
      <x:c r="E142" s="41" t="str">
        <x:v>sanitary: drainage</x:v>
      </x:c>
      <x:c r="F142" s="41" t="str">
        <x:v>No</x:v>
      </x:c>
      <x:c r="G142" s="41"/>
      <x:c r="H142" s="41" t="str">
        <x:v>No</x:v>
      </x:c>
      <x:c r="I142" s="41" t="str"/>
      <x:c r="J142" s="41" t="str">
        <x:v>https://wellcomelibrary.org/moh/report/b18038244</x:v>
      </x:c>
      <x:c r="K142" s="41" t="str">
        <x:v>data/moh_raw/Whitechapel_1896_b18038244_fulltext.txt</x:v>
      </x:c>
      <x:c r="L142" s="41" t="str">
        <x:v>The father carries on the "business of a butcher and poulterer, in the said shop, and at the time of my "visit at 3 o'clock this afternoon there were several customers in the shop, who "were being served by the father and mother and other members of the family. "Upon proceeding upstairs I found the two last notified cases in bed in the first "floor front room, no one else was in the room with the children. Shortly after I "had been upstairs some of the members of the family came to me from the "shop, and one of them (the eldest daughter) stated that she was nursing her "sisters. As it appeared to me to be advisible for the children's benefit, and for "the public safety to do so, I advised the removal of the children to the Hospital. '' This the parents objected to have done, the father stating that he would sooner "close his shop. I subsequently saw the doctor who could not advise the "children's removal, for the reason that one of them was too seriously ill to be "removed, and that the child's life would be endangered by so doing." 9 The drainage of the house which proved to be defective was reconstructed, and such pressure was brought to bear upon the father, that ultimately he consented to close his shop until the place could be disinfected.</x:v>
      </x:c>
    </x:row>
    <x:row r="143" ht="62" customHeight="1">
      <x:c r="A143" s="41" t="str">
        <x:v>1896_0020</x:v>
      </x:c>
      <x:c r="B143" s="41" t="n">
        <x:v>1896</x:v>
      </x:c>
      <x:c r="C143" s="41" t="n">
        <x:v>1897</x:v>
      </x:c>
      <x:c r="D143" s="41" t="str">
        <x:v>disease; housing; sanitary</x:v>
      </x:c>
      <x:c r="E143" s="41" t="str">
        <x:v>disease: scarlet fever | housing: rooms | sanitary: sanitary</x:v>
      </x:c>
      <x:c r="F143" s="41" t="str">
        <x:v>No</x:v>
      </x:c>
      <x:c r="G143" s="41"/>
      <x:c r="H143" s="41" t="str">
        <x:v>No</x:v>
      </x:c>
      <x:c r="I143" s="41" t="str"/>
      <x:c r="J143" s="41" t="str">
        <x:v>https://wellcomelibrary.org/moh/report/b18038244</x:v>
      </x:c>
      <x:c r="K143" s="41" t="str">
        <x:v>data/moh_raw/Whitechapel_1896_b18038244_fulltext.txt</x:v>
      </x:c>
      <x:c r="L143" s="41" t="str">
        <x:v>The disinfecting apparatus has given satisfaction, and has been of great service during the year. It has been the practice for some years partially, and during the past year entirely, to wash with Perchloride of Mercury solution, the interior of rooms where Small-pox or Scarlet Fever have occurred. This system has been added to the former plan of fumigation with Sulphur. From my experience, I think the innovation is valuable, and it will be continued. 10 After perusing the Tables in the Appendix, which set out roughly the work performed by the Sanitary Staff, you will agree with me that your Inspectors have well carried out most useful and beneficial operations. The increased number of notifications of Infectious diseases, as well as the extra work demanded by the Workshops' Acts of Parliament, have strained the energies of your staff. They have, however, thrown themselves into the work with a will that calls for recognition. I am obliged to do them this justice, because people who are not acquainted with their work are apt to undervalue the services which are rendered by them.</x:v>
      </x:c>
    </x:row>
    <x:row r="144" ht="62" customHeight="1">
      <x:c r="A144" s="41" t="str">
        <x:v>1896_0021</x:v>
      </x:c>
      <x:c r="B144" s="41" t="n">
        <x:v>1896</x:v>
      </x:c>
      <x:c r="C144" s="41" t="n">
        <x:v>1897</x:v>
      </x:c>
      <x:c r="D144" s="41" t="str">
        <x:v>housing; inequality</x:v>
      </x:c>
      <x:c r="E144" s="41" t="str">
        <x:v>housing: dwellings | inequality: poor</x:v>
      </x:c>
      <x:c r="F144" s="41" t="str">
        <x:v>Yes</x:v>
      </x:c>
      <x:c r="G144" s="41"/>
      <x:c r="H144" s="41" t="str">
        <x:v>Yes</x:v>
      </x:c>
      <x:c r="I144" s="41" t="str"/>
      <x:c r="J144" s="41" t="str">
        <x:v>https://wellcomelibrary.org/moh/report/b18038244</x:v>
      </x:c>
      <x:c r="K144" s="41" t="str">
        <x:v>data/moh_raw/Whitechapel_1896_b18038244_fulltext.txt</x:v>
      </x:c>
      <x:c r="L144" s="41" t="str">
        <x:v>As an illustration, you may remember how the Mansion House Council on the Dwellings of the Poor, through their local agent, proceeded against the owners of Booth Street Buildings under the Public Health (London) Act, 1891. It was alleged that your Officers had not performed their duty. The case was heard upon two occasions by Mr. Cluer at the Worship Street Police Court. The evidence for the prosecution was heard by me with great astonishment. I was present upon subpoena and gave evidence. The best comment upon the whole case is the summing up of the learned magistrate which I introduce here. "I do not see I have any option but "to dismiss this summons, I shall not be entitled to make an order "against the owner of these premises, unless they were in such a state as "to be injurious to health, and that was in the information set out. "With reference to the water-closets, the evidence as to that satisfies me "that though not perhaps such as would be seen in King's Palaces, at "the same time it is said by Dr.</x:v>
      </x:c>
    </x:row>
    <x:row r="145" ht="62" customHeight="1">
      <x:c r="A145" s="41" t="str">
        <x:v>1896_0022</x:v>
      </x:c>
      <x:c r="B145" s="41" t="n">
        <x:v>1896</x:v>
      </x:c>
      <x:c r="C145" s="41" t="n">
        <x:v>1897</x:v>
      </x:c>
      <x:c r="D145" s="41" t="str">
        <x:v>governance; sanitary</x:v>
      </x:c>
      <x:c r="E145" s="41" t="str">
        <x:v>governance: vestry | sanitary: nuisance, sanitary</x:v>
      </x:c>
      <x:c r="F145" s="41" t="str">
        <x:v>No</x:v>
      </x:c>
      <x:c r="G145" s="41"/>
      <x:c r="H145" s="41" t="str">
        <x:v>No</x:v>
      </x:c>
      <x:c r="I145" s="41" t="str"/>
      <x:c r="J145" s="41" t="str">
        <x:v>https://wellcomelibrary.org/moh/report/b18038244</x:v>
      </x:c>
      <x:c r="K145" s="41" t="str">
        <x:v>data/moh_raw/Whitechapel_1896_b18038244_fulltext.txt</x:v>
      </x:c>
      <x:c r="L145" s="41" t="str">
        <x:v>Willoughby that they are such as would "be put in by Sanitary Authorities. The principal point made with "reference to them was, that they were not fit for children, but if that is "so, I am afraid I shall have no power, so far as I can see, to order any "special class of water-closet to be put into buildings, so that children "can use them. It is the duty of parents to see that children use them; "if they are in accordance with Sanitary regulations. It is the duty of "parents to see that the children use the ordinary utensils, and not "commit a nuisance. Therefore, I cannot find that these premises are in "such a state as to be injurious or dangerous to health. I thought at "first that if it were true that there were no dust-bins at all all this time "on these premises, it would be impossible not to come to the conclusion "that the owner had been neglecting his duty, but it has now been "explained to me that dust-pails were supplied by the Vestry. "Mr.</x:v>
      </x:c>
    </x:row>
    <x:row r="146" ht="62" customHeight="1">
      <x:c r="A146" s="41" t="str">
        <x:v>1896_0025</x:v>
      </x:c>
      <x:c r="B146" s="41" t="n">
        <x:v>1896</x:v>
      </x:c>
      <x:c r="C146" s="41" t="n">
        <x:v>1897</x:v>
      </x:c>
      <x:c r="D146" s="41" t="str">
        <x:v>governance; sanitary</x:v>
      </x:c>
      <x:c r="E146" s="41" t="str">
        <x:v>governance: inspector | sanitary: nuisances</x:v>
      </x:c>
      <x:c r="F146" s="41" t="str">
        <x:v>No</x:v>
      </x:c>
      <x:c r="G146" s="41"/>
      <x:c r="H146" s="41" t="str">
        <x:v>No</x:v>
      </x:c>
      <x:c r="I146" s="41" t="str"/>
      <x:c r="J146" s="41" t="str">
        <x:v>https://wellcomelibrary.org/moh/report/b18038244</x:v>
      </x:c>
      <x:c r="K146" s="41" t="str">
        <x:v>data/moh_raw/Whitechapel_1896_b18038244_fulltext.txt</x:v>
      </x:c>
      <x:c r="L146" s="41" t="str">
        <x:v>These tenants are "reckless people. I expect they pay considerably higher rent because of "their carelessness. The probability is that if they were not so careless "they would have more money for their food. But I am satisfied that the "owner has seen to the rainwater pipes when they became defective. He "has had them repaired from time to time, and when a shoe is knocked "off it probably takes two or three days, or two or three weeks. That is "one's experience. When a tile is off you do not run at once to a "plumber, and you are not bound at once to remedy it. Other points were "put that there were no lights in the staircases or passages. I have no "power to put gas in a staircase. I have no power to make a man knock "a window through and make a light."* The case was accordingly dismissed with 15 guineas costs. In the course of the evidence the prosecutor, who acts as Inspector for the Mansion House Council, admitted that he never called the attention of caretakers to nuisances which he thought to exist.</x:v>
      </x:c>
    </x:row>
    <x:row r="147" ht="62" customHeight="1">
      <x:c r="A147" s="41" t="str">
        <x:v>1896_0026</x:v>
      </x:c>
      <x:c r="B147" s="41" t="n">
        <x:v>1896</x:v>
      </x:c>
      <x:c r="C147" s="41" t="n">
        <x:v>1897</x:v>
      </x:c>
      <x:c r="D147" s="41" t="str">
        <x:v>governance; sanitary</x:v>
      </x:c>
      <x:c r="E147" s="41" t="str">
        <x:v>governance: board, inspector | sanitary: nuisances, sanitary</x:v>
      </x:c>
      <x:c r="F147" s="41" t="str">
        <x:v>No</x:v>
      </x:c>
      <x:c r="G147" s="41"/>
      <x:c r="H147" s="41" t="str">
        <x:v>No</x:v>
      </x:c>
      <x:c r="I147" s="41" t="str"/>
      <x:c r="J147" s="41" t="str">
        <x:v>https://wellcomelibrary.org/moh/report/b18038244</x:v>
      </x:c>
      <x:c r="K147" s="41" t="str">
        <x:v>data/moh_raw/Whitechapel_1896_b18038244_fulltext.txt</x:v>
      </x:c>
      <x:c r="L147" s="41" t="str">
        <x:v>I can scarcely believe that the Committee and subscribers to this Council are aware that advertisements constantly appear in the local press inviting householders to communicate with the Council's Officers when they become aware of the existence of nuisances. Were the people advised to forward the information to the Sanitary Authorities which exist for the purpose of dealing with them, and whose machinery is ever ready to speedily treat such cases, much valuable time would be saved. In the summer I gave the prosecutor in the above case some post cards requesting him to forward to me any complaints which came under his notice, but up to the present time I have not received a single one. As a noteworthy contrast to this method for proving the raison d'etre for the existence of the Society, I am glad to record my appreciation of the good work carried out by the Jewish Board of Guardians through their Sanitary Inspector. Conducting his duties upon different lines, this gentleman acts as a fellow worker with the Board's Officers.</x:v>
      </x:c>
    </x:row>
    <x:row r="148" ht="62" customHeight="1">
      <x:c r="A148" s="41" t="str">
        <x:v>1896_0029</x:v>
      </x:c>
      <x:c r="B148" s="41" t="n">
        <x:v>1896</x:v>
      </x:c>
      <x:c r="C148" s="41" t="n">
        <x:v>1897</x:v>
      </x:c>
      <x:c r="D148" s="41" t="str">
        <x:v>housing; inequality; sanitary</x:v>
      </x:c>
      <x:c r="E148" s="41" t="str">
        <x:v>housing: houses | inequality: infirmary, lodging-houses | sanitary: drainage, sanitary</x:v>
      </x:c>
      <x:c r="F148" s="41" t="str">
        <x:v>Yes</x:v>
      </x:c>
      <x:c r="G148" s="41"/>
      <x:c r="H148" s="41" t="str">
        <x:v>Yes</x:v>
      </x:c>
      <x:c r="I148" s="41" t="str"/>
      <x:c r="J148" s="41" t="str">
        <x:v>https://wellcomelibrary.org/moh/report/b18038244</x:v>
      </x:c>
      <x:c r="K148" s="41" t="str">
        <x:v>data/moh_raw/Whitechapel_1896_b18038244_fulltext.txt</x:v>
      </x:c>
      <x:c r="L148" s="41" t="str">
        <x:v>A large number of the cases belonged to persons occupying only a single room. The Mortuary therefore has been a practical help in the sanitary work of the District. This remark applies both to the Jewish and general inhabitants, for all classes can and do avail themselves of the advantages of the building. At a recent meeting of the Sanitary Committee a Member called attention to the good work being performed by the Mortuary Keepers. I desire to endorse the commendation most heartily. 13 In again drawing attention to the Registered Common Lodging-Houses within the District I have little to add to the statement contained in my last Report. The London County Council's Officers are carefully going over the Houses, and improving the drainage connected with them. Your Officers assist so far as to overlook the work during its progress. For reference and comparison purpose I here introduce the customary information appertaining to this class of property:- 1896. Registered Common LodgingHouses. No. of Admissions to Infirmary. Registered Common LodingHouses. No. of Admissions to Infirmary.</x:v>
      </x:c>
    </x:row>
    <x:row r="149" ht="62" customHeight="1">
      <x:c r="A149" s="41" t="str">
        <x:v>1896_0031</x:v>
      </x:c>
      <x:c r="B149" s="41" t="n">
        <x:v>1896</x:v>
      </x:c>
      <x:c r="C149" s="41" t="n">
        <x:v>1897</x:v>
      </x:c>
      <x:c r="D149" s="41" t="str">
        <x:v>housing; sanitary</x:v>
      </x:c>
      <x:c r="E149" s="41" t="str">
        <x:v>housing: dwellings, houses, model dwellings, rooms | sanitary: sanitary</x:v>
      </x:c>
      <x:c r="F149" s="41" t="str">
        <x:v>No</x:v>
      </x:c>
      <x:c r="G149" s="41"/>
      <x:c r="H149" s="41" t="str">
        <x:v>No</x:v>
      </x:c>
      <x:c r="I149" s="41" t="str"/>
      <x:c r="J149" s="41" t="str">
        <x:v>https://wellcomelibrary.org/moh/report/b18038244</x:v>
      </x:c>
      <x:c r="K149" s="41" t="str">
        <x:v>data/moh_raw/Whitechapel_1896_b18038244_fulltext.txt</x:v>
      </x:c>
      <x:c r="L149" s="41" t="str">
        <x:v>Model Dwellings have been erected in the District since I last reported. Roughly speaking, another thousand persons Model have thus been provided for. Some of these new buildings Dwellings. have only been occupied during a part of the year, and so, for statistical purposes, I have made such allowances as will render the results fairly accurate. The death-rate for the whole population inhabiting Model Dwellings amounted to 18.7 per 1,000 and the Zymotic death-rate was 2.6 per 1,000. As I have more than once suggested, all Model Dwellings are not equally models of good sanitary houses. Those which are below the standard naturally attract a class of occupants who make them rapidly worse. Such buildings will soon be added to the Register of "Houses let in lodgings, and occupied by members of more than one family." Already most of the "Furnished Rooms" have been placed upon the Register, and I hope during the current year to be able to proceed with this special work. When all the new Model Dwellings are occupied, 20 per cent. of our population will be thus housed.</x:v>
      </x:c>
    </x:row>
    <x:row r="150" ht="62" customHeight="1">
      <x:c r="A150" s="41" t="str">
        <x:v>1896_0034</x:v>
      </x:c>
      <x:c r="B150" s="41" t="n">
        <x:v>1896</x:v>
      </x:c>
      <x:c r="C150" s="41" t="n">
        <x:v>1897</x:v>
      </x:c>
      <x:c r="D150" s="41" t="str">
        <x:v>housing; sanitary</x:v>
      </x:c>
      <x:c r="E150" s="41" t="str">
        <x:v>housing: houses | sanitary: nuisances</x:v>
      </x:c>
      <x:c r="F150" s="41" t="str">
        <x:v>No</x:v>
      </x:c>
      <x:c r="G150" s="41"/>
      <x:c r="H150" s="41" t="str">
        <x:v>No</x:v>
      </x:c>
      <x:c r="I150" s="41" t="str"/>
      <x:c r="J150" s="41" t="str">
        <x:v>https://wellcomelibrary.org/moh/report/b18038244</x:v>
      </x:c>
      <x:c r="K150" s="41" t="str">
        <x:v>data/moh_raw/Whitechapel_1896_b18038244_fulltext.txt</x:v>
      </x:c>
      <x:c r="L150" s="41" t="str">
        <x:v>In many instances they were not accepted. And now, Gentlemen, I propose, without further comment, to leave the many Tables which I have introduced to tell their own story. Taken altogether, I believe the District to be in a much more satisfactory condition than it was in when I last reported. We must remember that so much of it belongs to the far remote, that many houses are very old, and much more supervision is required than is the case in newer neighbourhoods. The assistance of the inhabitants themselves must be invoked to bring to our knowledge nuisances and defects which would otherwise escape detection. Looking round, however, you will see evidence in new buildings appearing in exchange for old worn-out property all over the District, that improvements are being effected, and I would remind you that many more very important works have been carried out within the houses which can only be discovered by a general improvement in the sickness-rate and in the deathrate. In relation to much of our work, I have frequently to ask the advice and assistance of my colleagues, Messrs.</x:v>
      </x:c>
    </x:row>
    <x:row r="151" ht="62" customHeight="1">
      <x:c r="A151" s="41" t="str">
        <x:v>1896_0053</x:v>
      </x:c>
      <x:c r="B151" s="41" t="n">
        <x:v>1896</x:v>
      </x:c>
      <x:c r="C151" s="41" t="n">
        <x:v>1897</x:v>
      </x:c>
      <x:c r="D151" s="41" t="str">
        <x:v>governance; sanitary</x:v>
      </x:c>
      <x:c r="E151" s="41" t="str">
        <x:v>governance: inspection, summonses | sanitary: drainage</x:v>
      </x:c>
      <x:c r="F151" s="41" t="str">
        <x:v>No</x:v>
      </x:c>
      <x:c r="G151" s="41"/>
      <x:c r="H151" s="41" t="str">
        <x:v>No</x:v>
      </x:c>
      <x:c r="I151" s="41" t="str"/>
      <x:c r="J151" s="41" t="str">
        <x:v>https://wellcomelibrary.org/moh/report/b18038244</x:v>
      </x:c>
      <x:c r="K151" s="41" t="str">
        <x:v>data/moh_raw/Whitechapel_1896_b18038244_fulltext.txt</x:v>
      </x:c>
      <x:c r="L151" s="41" t="str">
        <x:v>Sir, The accompanying Tabulated Statement sets out the amount of work carried out by us during the past year, and it will be at once seen that a very large amount has been accomplished. It will be seen that a large amount of Re-construction and improvement of House Drainage has been carried out during the year. A good deal of time was given to inspection of Workshops during the year. Very many special night visits were made. It will be seen from the Statement above referred to that a great deal of work has been carried out in this direction. Great attention was paid to the question of uuwholesome food. Particulars of the Articles seized and destroyed will be found at the foot of the said Statement. Sixty-six Summonses were issued under the Public Health (London) Act. The Fines and Costs recovered amounted in all to �31 4s. Od. A detailed statement of these summonses we also hand you herewith. Last year we reported that 1,074 cases of Infectious Disease had occurred, but this year we have to report an increase of 92 cases, making the total for the year 1,166.</x:v>
      </x:c>
    </x:row>
    <x:row r="152" ht="62" customHeight="1">
      <x:c r="A152" s="41" t="str">
        <x:v>1896_0059</x:v>
      </x:c>
      <x:c r="B152" s="41" t="n">
        <x:v>1896</x:v>
      </x:c>
      <x:c r="C152" s="41" t="n">
        <x:v>1897</x:v>
      </x:c>
      <x:c r="D152" s="41" t="str">
        <x:v>sanitary</x:v>
      </x:c>
      <x:c r="E152" s="41" t="str">
        <x:v>sanitary: dirty, nuisance, sanitary, water supply</x:v>
      </x:c>
      <x:c r="F152" s="41" t="str">
        <x:v>No</x:v>
      </x:c>
      <x:c r="G152" s="41"/>
      <x:c r="H152" s="41" t="str">
        <x:v>No</x:v>
      </x:c>
      <x:c r="I152" s="41" t="str"/>
      <x:c r="J152" s="41" t="str">
        <x:v>https://wellcomelibrary.org/moh/report/b18038244</x:v>
      </x:c>
      <x:c r="K152" s="41" t="str">
        <x:v>data/moh_raw/Whitechapel_1896_b18038244_fulltext.txt</x:v>
      </x:c>
      <x:c r="L152" s="41" t="str">
        <x:v>Magistrate ruled there was not sufficient evidence of exposure for sale. 70, Plumbers' Row Water closets in filthy state and without water supply. Sink wastes not properly trapped. Roof defective July 9th Work done. Summons withdrawn. 78, Plumbers' Row Water closets in filthy state and without water supply. Sink wastes not properly trapped ,, 9th ,, ,, 6, Fieldgate Street, Workshop not properly ventilated, in a dirty state, and without proper sanitary conveniences ,, 15th 39 Situation of Premises. Nature of Nuisance or Complaint. Datn of hearing of Summons. Result. Augustine House, Pelham Street W.C.'s in basement and on ground floor without water supply. Pan of W.C. on top floor defective. Walls and ceilings of W.C.'s and washhouses dirty 1896. July 15th Owner in liquidation. Summons withdrawn. Notice served on the receiver in Bankruptcy, and work subsequently carried out. Pelham House, Pelham Street Walls and ceilings of W.C.'s and washhouses dirty and dilapidated. Walls and ceilings of apartments Nos. 4 and 7 dirty. Yard paving defective ,, 15th ,, ,, ,, ,, Osborn House, Pelham Street Walls and ceilings of W.C.'s and washhouses dirty and dilapidated.</x:v>
      </x:c>
    </x:row>
    <x:row r="153" ht="62" customHeight="1">
      <x:c r="A153" s="41" t="str">
        <x:v>1897_0001</x:v>
      </x:c>
      <x:c r="B153" s="41" t="n">
        <x:v>1897</x:v>
      </x:c>
      <x:c r="C153" s="41" t="n">
        <x:v>1898</x:v>
      </x:c>
      <x:c r="D153" s="41" t="str">
        <x:v>governance; sanitary</x:v>
      </x:c>
      <x:c r="E153" s="41" t="str">
        <x:v>governance: board, local government board, medical officer | sanitary: sanitary</x:v>
      </x:c>
      <x:c r="F153" s="41" t="str">
        <x:v>No</x:v>
      </x:c>
      <x:c r="G153" s="41"/>
      <x:c r="H153" s="41" t="str">
        <x:v>No</x:v>
      </x:c>
      <x:c r="I153" s="41" t="str">
        <x:v>Commercial Road</x:v>
      </x:c>
      <x:c r="J153" s="41" t="str">
        <x:v>https://wellcomelibrary.org/moh/report/b19883699</x:v>
      </x:c>
      <x:c r="K153" s="41" t="str">
        <x:v>data/moh_raw/Whitechapel_1897_b19883699_fulltext.txt</x:v>
      </x:c>
      <x:c r="L153" s="41" t="str">
        <x:v>WH142 THE ANNUAL REPORT on the SANITARY CONDITION of the WHITECHAPEL DISTRICT, (WITH VITAL AND OTHER STATISTICS FOR THE YEAR 1890 . (consisting of 52 WEEKS), being the FOURTEENTH ANNUAL REPORT, BY JOSEPH LOANE, MEDICAL OFFICER OF HEALTH; diplomate in public health, university of cambridge; fellow of the incorporated society of medical officers of health ; associate of the college of state medicine j member of the sanitary institute ; public vaccinator to the whitechapel union ; examiner in, and instructor of, vaccination, by order of the local government board; &amp;c. LONDON: PRINTED BY GEORGE STEVENS &amp; CO., Ltd., 19 &amp; 25a, Commercial Road, E. 1898. Officers of -t'he Board of Works for the Whitechapel District. Sanitary Department: No. 15, Great Alie Street, London, E., January 27th, 1898. Gentlemen, I have the honour to present for your consideration my Fourteenth Annual Report upon the sanitary condition of the Whitechapel District. It is impossible to review the changes which have taken place during the past few years without feeling thankful that so much has been achieved, and I congratulate you upon the success which has attended your endeavours to keep pace with the work which has, at times, threatened to overwhelm your officers.</x:v>
      </x:c>
    </x:row>
    <x:row r="154" ht="62" customHeight="1">
      <x:c r="A154" s="41" t="str">
        <x:v>1897_0002</x:v>
      </x:c>
      <x:c r="B154" s="41" t="n">
        <x:v>1897</x:v>
      </x:c>
      <x:c r="C154" s="41" t="n">
        <x:v>1898</x:v>
      </x:c>
      <x:c r="D154" s="41" t="str">
        <x:v>governance; housing; sanitary</x:v>
      </x:c>
      <x:c r="E154" s="41" t="str">
        <x:v>governance: board, inspector | housing: houses, rooms | sanitary: refuse, sanitary</x:v>
      </x:c>
      <x:c r="F154" s="41" t="str">
        <x:v>No</x:v>
      </x:c>
      <x:c r="G154" s="41"/>
      <x:c r="H154" s="41" t="str">
        <x:v>No</x:v>
      </x:c>
      <x:c r="I154" s="41" t="str"/>
      <x:c r="J154" s="41" t="str">
        <x:v>https://wellcomelibrary.org/moh/report/b19883699</x:v>
      </x:c>
      <x:c r="K154" s="41" t="str">
        <x:v>data/moh_raw/Whitechapel_1897_b19883699_fulltext.txt</x:v>
      </x:c>
      <x:c r="L154" s="41" t="str">
        <x:v>This success has been brought about by the readiness with which you have always fallen in with my request for more help when I have from time to time asked for it. A dozen years since, the sanitary duties of your Board were performed by a staff of two Inspectors, assisted by two labourers. All clothing, and articles which had been exposed to infectious diseases, were stoved in an oven where they would have been charred if sufficient heat had been employed to properly disinfect them, and the dustbins in most yards were large enough to contain a month's refuse of every description. They were frequently placed in close proximity to windows of living rooms, and even bedrooms. Dustbins have now practically disappeared, and a daily collection of house refuse removes the annoyance and danger to which the occupants of houses throughout the District were often exposed. The work in connection with infectious diseases is now under the control of a competent Inspector who supervises the collection, disinfection and subsequent return of all goods which have been exposed to infection.</x:v>
      </x:c>
    </x:row>
    <x:row r="155" ht="62" customHeight="1">
      <x:c r="A155" s="41" t="str">
        <x:v>1897_0004</x:v>
      </x:c>
      <x:c r="B155" s="41" t="n">
        <x:v>1897</x:v>
      </x:c>
      <x:c r="C155" s="41" t="n">
        <x:v>1898</x:v>
      </x:c>
      <x:c r="D155" s="41" t="str">
        <x:v>governance; sanitary</x:v>
      </x:c>
      <x:c r="E155" s="41" t="str">
        <x:v>governance: board | sanitary: drainage, drains, sanitary</x:v>
      </x:c>
      <x:c r="F155" s="41" t="str">
        <x:v>No</x:v>
      </x:c>
      <x:c r="G155" s="41"/>
      <x:c r="H155" s="41" t="str">
        <x:v>No</x:v>
      </x:c>
      <x:c r="I155" s="41" t="str"/>
      <x:c r="J155" s="41" t="str">
        <x:v>https://wellcomelibrary.org/moh/report/b19883699</x:v>
      </x:c>
      <x:c r="K155" s="41" t="str">
        <x:v>data/moh_raw/Whitechapel_1897_b19883699_fulltext.txt</x:v>
      </x:c>
      <x:c r="L155" s="41" t="str">
        <x:v>One has only to contemplate the Acts of Parliament which have been added to the Statute Book since I took charge of the Sanitary Department, to be sure, that even the present staff often have their resources taxed to the utmost. They are enthusiastic workers�men whose work I highly appreciateand I would earnestly ask all Members of the Board to help in every way to encourage and assist Officers who so loyally perform duties which are onerous always,.and very often difficult to perform. 4 What is the net result to the District of this great increase in the Sanitary Staff of the Board ? It is impossible to set out in Tabular Form all the present benefit�but it is evident from a glance at the work carried out during past years as set out each year in Table P of the Appendix, that in the aggregate the District has become vastly improved. Consider the total amount spent on new and improved house drainage, where ventilation of drains has been provided, and the means of inspecting and cleansing them has been arranged for ; reflect that all the Schools within the District have been or are being treated in this manner, and it will not surprise you to be told that the general death rate has diminished, and that the mortality of infants under the age of one year to 1,000 registered births, is for our District lower than it is for any other East End District.</x:v>
      </x:c>
    </x:row>
    <x:row r="156" ht="62" customHeight="1">
      <x:c r="A156" s="41" t="str">
        <x:v>1897_0005</x:v>
      </x:c>
      <x:c r="B156" s="41" t="n">
        <x:v>1897</x:v>
      </x:c>
      <x:c r="C156" s="41" t="n">
        <x:v>1898</x:v>
      </x:c>
      <x:c r="D156" s="41" t="str">
        <x:v>housing</x:v>
      </x:c>
      <x:c r="E156" s="41" t="str">
        <x:v>housing: houses, overcrowding, rooms</x:v>
      </x:c>
      <x:c r="F156" s="41" t="str">
        <x:v>No</x:v>
      </x:c>
      <x:c r="G156" s="41"/>
      <x:c r="H156" s="41" t="str">
        <x:v>No</x:v>
      </x:c>
      <x:c r="I156" s="41" t="str"/>
      <x:c r="J156" s="41" t="str">
        <x:v>https://wellcomelibrary.org/moh/report/b19883699</x:v>
      </x:c>
      <x:c r="K156" s="41" t="str">
        <x:v>data/moh_raw/Whitechapel_1897_b19883699_fulltext.txt</x:v>
      </x:c>
      <x:c r="L156" s="41" t="str">
        <x:v>During the year 1897 about �5,000 has been spent in this way by the owners of house property in the District. This estimate does not include new houses. I am of opinion that these improvements would have been still more pronounced but for the unfortunate circumstance that overcrowding through newly erected buildings is permitted by Act of Parliament. When there was no available vacant building land in the Whitechapel District, and when almost every house within it was a dwelling-house, the population was less than it is now. At the present time large areas are covered with Warehouses, Stores, Schools, &amp;c, so that the increased population are housed to an enormous extent in huge barrack buildings which sometimes are constructed so as to allow light and air to permeate the rooms, and sometimes not. The effect of this modern invention is to increase the density of population to a damaging degree. I am aware that some gentlemen (more particularly architects) argue that the movement of air, constantly taking place, naturally provides all the fresh air which is required to prevent anything like injury resulting from aggregating large numbers of people upon a limited space, but I would ask such gentlemen to compare sickness and death rates in two districts occupied by the similar classes of comparable ages.</x:v>
      </x:c>
    </x:row>
    <x:row r="157" ht="62" customHeight="1">
      <x:c r="A157" s="41" t="str">
        <x:v>1897_0006</x:v>
      </x:c>
      <x:c r="B157" s="41" t="n">
        <x:v>1897</x:v>
      </x:c>
      <x:c r="C157" s="41" t="n">
        <x:v>1898</x:v>
      </x:c>
      <x:c r="D157" s="41" t="str">
        <x:v>disease; governance; housing</x:v>
      </x:c>
      <x:c r="E157" s="41" t="str">
        <x:v>disease: consumption | governance: board | housing: dwellings</x:v>
      </x:c>
      <x:c r="F157" s="41" t="str">
        <x:v>No</x:v>
      </x:c>
      <x:c r="G157" s="41"/>
      <x:c r="H157" s="41" t="str">
        <x:v>No</x:v>
      </x:c>
      <x:c r="I157" s="41" t="str"/>
      <x:c r="J157" s="41" t="str">
        <x:v>https://wellcomelibrary.org/moh/report/b19883699</x:v>
      </x:c>
      <x:c r="K157" s="41" t="str">
        <x:v>data/moh_raw/Whitechapel_1897_b19883699_fulltext.txt</x:v>
      </x:c>
      <x:c r="L157" s="41" t="str">
        <x:v>It could be easily proved that where the greatest density was present, there would be found scrofula, consumption, and allied diseases, out of all proportion to the number of cases which would appear in the neighbourhood where the density of population was restrained within reasonable limits. This matter was brought to my notice more especially in the summer when I collected some statistics for a special Committee appointed by the Jewish Board of Guardians to enquire whether consumption had increased of late amongst the Jews in East London. As probably the result of the deliberations of that Committee will eventually be published, I refrain now from giving details of my own evidence�but I would simply state that I formed the opinion that the answer to the Inquiry would probably be an affirmative one. That the direct influence of these barrack dwellings upon the health of their occupants�more especially of the children�is adverse I have not the slightest doubt. I have reason, moreover, to believe that the spread of zymotic diseases is aided by the general plan of construction adopted in dwellings of this class.</x:v>
      </x:c>
    </x:row>
    <x:row r="158" ht="62" customHeight="1">
      <x:c r="A158" s="41" t="str">
        <x:v>1897_0007</x:v>
      </x:c>
      <x:c r="B158" s="41" t="n">
        <x:v>1897</x:v>
      </x:c>
      <x:c r="C158" s="41" t="n">
        <x:v>1898</x:v>
      </x:c>
      <x:c r="D158" s="41" t="str">
        <x:v>disease; housing; inequality; sanitary</x:v>
      </x:c>
      <x:c r="E158" s="41" t="str">
        <x:v>disease: diphtheria, scarlet fever | housing: dwellings, houses, model dwellings, rooms | inequality: working classes | sanitary: sanitation</x:v>
      </x:c>
      <x:c r="F158" s="41" t="str">
        <x:v>Yes</x:v>
      </x:c>
      <x:c r="G158" s="41"/>
      <x:c r="H158" s="41" t="str">
        <x:v>Yes</x:v>
      </x:c>
      <x:c r="I158" s="41" t="str"/>
      <x:c r="J158" s="41" t="str">
        <x:v>https://wellcomelibrary.org/moh/report/b19883699</x:v>
      </x:c>
      <x:c r="K158" s="41" t="str">
        <x:v>data/moh_raw/Whitechapel_1897_b19883699_fulltext.txt</x:v>
      </x:c>
      <x:c r="L158" s="41" t="str">
        <x:v>A staircase leading to a corridor which affords access to many rooms more easily facilitates the spread of disease than in the case of tenements which are more separated. It may also be said that as the staircases and passages frequently have to constitute the playground of the children, another factor is imported to account for the spread of disease. I have collected evidence which supports my opinion that both scarlet fever and diphtheria evince a marked tendency to appear in families who occupy rooms which are adjacent to other rooms where the disease has already appeared. Small houses, with rooms which can be entered from independent staircases commend themselves to my mind as far preferable from many points of view, as dwellings for the working classes; it is 5 certain, however, that owing to the increasing value of land in the Metropolis this desideratum is not yet to be attained. The height too of these modern model dwellings stands in the way of furnishing them with a constant supply of drinking water, The water must, therefore, be stored in cisterns of sufficient capacity to supply all but the lower floors, and this arrangement certainly is not in the direction of improved sanitation.</x:v>
      </x:c>
    </x:row>
    <x:row r="159" ht="62" customHeight="1">
      <x:c r="A159" s="41" t="str">
        <x:v>1897_0008</x:v>
      </x:c>
      <x:c r="B159" s="41" t="n">
        <x:v>1897</x:v>
      </x:c>
      <x:c r="C159" s="41" t="n">
        <x:v>1898</x:v>
      </x:c>
      <x:c r="D159" s="41" t="str">
        <x:v>housing; sanitary</x:v>
      </x:c>
      <x:c r="E159" s="41" t="str">
        <x:v>housing: houses, model dwellings, rooms | sanitary: drainage</x:v>
      </x:c>
      <x:c r="F159" s="41" t="str">
        <x:v>No</x:v>
      </x:c>
      <x:c r="G159" s="41"/>
      <x:c r="H159" s="41" t="str">
        <x:v>No</x:v>
      </x:c>
      <x:c r="I159" s="41" t="str"/>
      <x:c r="J159" s="41" t="str">
        <x:v>https://wellcomelibrary.org/moh/report/b19883699</x:v>
      </x:c>
      <x:c r="K159" s="41" t="str">
        <x:v>data/moh_raw/Whitechapel_1897_b19883699_fulltext.txt</x:v>
      </x:c>
      <x:c r="L159" s="41" t="str">
        <x:v>In times of drought other and more serious inconveniences occur. Small children are not given the chance to breathe as much fresh air as they require, and they do not reap those advantages obtainable from sunshine, which are absolutely necessary to ensure them becoming healthy men and women. I feel that my contention will be eventually demonstrated, and that the time will come when many so called model dwellings will be condemned. These evils are certainly counteracted to some extent by greatly improved systems of drainage, and'by the facilities which have been introduced for the immediate removal of all offensive garbage from the vicinity of the rooms. It is much to be regretted that the recent Building Act did not impose conditions which would have rendered it impossible in the future to continue some evils which now exist in the most modern of this class of dwelling. It sometimes happens that new houses are let differently from the manner stated when the plans were submitted. I can illustrate this proposition by a case which recently came before the Law Courts.</x:v>
      </x:c>
    </x:row>
    <x:row r="160" ht="62" customHeight="1">
      <x:c r="A160" s="41" t="str">
        <x:v>1897_0009</x:v>
      </x:c>
      <x:c r="B160" s="41" t="n">
        <x:v>1897</x:v>
      </x:c>
      <x:c r="C160" s="41" t="n">
        <x:v>1898</x:v>
      </x:c>
      <x:c r="D160" s="41" t="str">
        <x:v>housing; inequality</x:v>
      </x:c>
      <x:c r="E160" s="41" t="str">
        <x:v>housing: houses, overcrowding, rooms | inequality: working class</x:v>
      </x:c>
      <x:c r="F160" s="41" t="str">
        <x:v>Yes</x:v>
      </x:c>
      <x:c r="G160" s="41"/>
      <x:c r="H160" s="41" t="str">
        <x:v>No</x:v>
      </x:c>
      <x:c r="I160" s="41" t="str"/>
      <x:c r="J160" s="41" t="str">
        <x:v>https://wellcomelibrary.org/moh/report/b19883699</x:v>
      </x:c>
      <x:c r="K160" s="41" t="str">
        <x:v>data/moh_raw/Whitechapel_1897_b19883699_fulltext.txt</x:v>
      </x:c>
      <x:c r="L160" s="41" t="str">
        <x:v>A builder who desired to erect houses of a certain height applied to the London County Council for permission, and exhibited his plans. He stated that the buildings were to consist of shops with dwelling houses over ohern. They were not to be built to let for occupation by persons of the working class. Without this undertaking sanction would have been withheld, but under the circumstances permission was granted. The houses when finished were let each to one tenant who paid a weekly rental. Tnis tenant sub-let each floor, and occasionally each room. A prosecution undertaken by the London County Council, under the London Building Act, resulted in a defeat before a Magistrate. Upon appeal the Magistrate's decision was upheld. Before leaving these preliminary remarks I must state that I do not thick very much overcrowding of rooms takes place within the District. Some night visits made by your Inspectors upon specific information have not resulted in proving definite overcrowding to be present to such an extent as to warrant legal proceedings.</x:v>
      </x:c>
    </x:row>
    <x:row r="161" ht="62" customHeight="1">
      <x:c r="A161" s="41" t="str">
        <x:v>1897_0016</x:v>
      </x:c>
      <x:c r="B161" s="41" t="n">
        <x:v>1897</x:v>
      </x:c>
      <x:c r="C161" s="41" t="n">
        <x:v>1898</x:v>
      </x:c>
      <x:c r="D161" s="41" t="str">
        <x:v>sanitary</x:v>
      </x:c>
      <x:c r="E161" s="41" t="str">
        <x:v>sanitary: sanitation</x:v>
      </x:c>
      <x:c r="F161" s="41" t="str">
        <x:v>No</x:v>
      </x:c>
      <x:c r="G161" s="41"/>
      <x:c r="H161" s="41" t="str">
        <x:v>No</x:v>
      </x:c>
      <x:c r="I161" s="41" t="str"/>
      <x:c r="J161" s="41" t="str">
        <x:v>https://wellcomelibrary.org/moh/report/b19883699</x:v>
      </x:c>
      <x:c r="K161" s="41" t="str">
        <x:v>data/moh_raw/Whitechapel_1897_b19883699_fulltext.txt</x:v>
      </x:c>
      <x:c r="L161" s="41" t="str">
        <x:v>The Guardians passed uo such resolution. During the year there was issued a document signed by nearly 900 Medical Officers of Health in Great Britain, India, and the Colonies, which had for its object the desire to agree with three of the more important conclusions of the Royal Commission Firstly, that "sanitation "cannot safely be relied upon as a substitute for vaccination; secondly, that vaccination, especially when performed with calf lymph, is free from any serious danger ; and, thirdly, that, in order to perpetuate the protection against Small-pox which is afforded by vacciuation in infancy, it is necessary to repeat the operation at a later age. From the Times of November 2nd, 1897, I here reproduce a few paragraphs bearing upon this matter. They are practically the words of Lord Herschell who presided over the Royal Commission on vaccination.</x:v>
      </x:c>
    </x:row>
    <x:row r="162" ht="62" customHeight="1">
      <x:c r="A162" s="41" t="str">
        <x:v>1897_0020</x:v>
      </x:c>
      <x:c r="B162" s="41" t="n">
        <x:v>1897</x:v>
      </x:c>
      <x:c r="C162" s="41" t="n">
        <x:v>1898</x:v>
      </x:c>
      <x:c r="D162" s="41" t="str">
        <x:v>disease; governance; sanitary</x:v>
      </x:c>
      <x:c r="E162" s="41" t="str">
        <x:v>disease: diphtheria, fever, scarlet fever | governance: board, inspection | sanitary: drains</x:v>
      </x:c>
      <x:c r="F162" s="41" t="str">
        <x:v>No</x:v>
      </x:c>
      <x:c r="G162" s="41"/>
      <x:c r="H162" s="41" t="str">
        <x:v>No</x:v>
      </x:c>
      <x:c r="I162" s="41" t="str"/>
      <x:c r="J162" s="41" t="str">
        <x:v>https://wellcomelibrary.org/moh/report/b19883699</x:v>
      </x:c>
      <x:c r="K162" s="41" t="str">
        <x:v>data/moh_raw/Whitechapel_1897_b19883699_fulltext.txt</x:v>
      </x:c>
      <x:c r="L162" s="41" t="str">
        <x:v>With this object I am directed to "enquire whether, in the event of pressure upon the Board's accommodation "again necessitating the temporary refusal of Diphtheria cases, you will "be willing to receive and distribute the Serum in the manner proposed ? " I at once wrote and expressed my readiness to co-operate in the useful suggestion, but fortunately up to this time no difficulty has arisen in the removal of our cases to the Hospitals. As a matter of fact very few of our cases of Diphtheria, Membranous Croup, Scarlet Fever and Enteric Fever have been treated at their own homes. It is probably due partly to this reason that we have had fewer notifications during the year. It is also certain that the type of each disease has been less severe, for only 6.5 per cent, of persons attacked by these diseases died. It has always been the practice for drains in a house to be inspected after the occurrence therein of a notifiable infectious disease unless an inspection has recently been made.</x:v>
      </x:c>
    </x:row>
    <x:row r="163" ht="62" customHeight="1">
      <x:c r="A163" s="41" t="str">
        <x:v>1897_0021</x:v>
      </x:c>
      <x:c r="B163" s="41" t="n">
        <x:v>1897</x:v>
      </x:c>
      <x:c r="C163" s="41" t="n">
        <x:v>1898</x:v>
      </x:c>
      <x:c r="D163" s="41" t="str">
        <x:v>governance; inequality; sanitary</x:v>
      </x:c>
      <x:c r="E163" s="41" t="str">
        <x:v>governance: board | inequality: working classes | sanitary: drain, drainage</x:v>
      </x:c>
      <x:c r="F163" s="41" t="str">
        <x:v>Yes</x:v>
      </x:c>
      <x:c r="G163" s="41"/>
      <x:c r="H163" s="41" t="str">
        <x:v>No</x:v>
      </x:c>
      <x:c r="I163" s="41" t="str"/>
      <x:c r="J163" s="41" t="str">
        <x:v>https://wellcomelibrary.org/moh/report/b19883699</x:v>
      </x:c>
      <x:c r="K163" s="41" t="str">
        <x:v>data/moh_raw/Whitechapel_1897_b19883699_fulltext.txt</x:v>
      </x:c>
      <x:c r="L163" s="41" t="str">
        <x:v>No exception now is made in any case. During the year an immense amount of drain work has been supervised by your Inspectors, and I regard this work as of the highest importance. Some difficulty has occasionally arisen when combined drainage has been met with. At a Conference called together at Holborn to consider the question, after several meetings the representatives of the Metropolitan Vestries and Boards agreed upon the wording of a Bill which was drafted to meet the difficulty, and it was resolved to request the London County Council to introduce it during the next Session of Parliament. I am often spoken to by members of the Board on the subject of " The Bell Lane area, Whitechapel," as it has been called for over 20 years. You are aware that Middlesex Street and Sandy's Row have been widened. This has caused the demolition of some of the insanitary property which was included in the original representation. All the members of the Board may not have seen a Report of the Housing of the Working Classes Committee of the London County Council, which was agreed to by the Council during the first quarter of the year.</x:v>
      </x:c>
    </x:row>
    <x:row r="164" ht="62" customHeight="1">
      <x:c r="A164" s="41" t="str">
        <x:v>1897_0022</x:v>
      </x:c>
      <x:c r="B164" s="41" t="n">
        <x:v>1897</x:v>
      </x:c>
      <x:c r="C164" s="41" t="n">
        <x:v>1898</x:v>
      </x:c>
      <x:c r="D164" s="41" t="str">
        <x:v>governance; housing</x:v>
      </x:c>
      <x:c r="E164" s="41" t="str">
        <x:v>governance: board | housing: dwellings</x:v>
      </x:c>
      <x:c r="F164" s="41" t="str">
        <x:v>No</x:v>
      </x:c>
      <x:c r="G164" s="41"/>
      <x:c r="H164" s="41" t="str">
        <x:v>No</x:v>
      </x:c>
      <x:c r="I164" s="41" t="str"/>
      <x:c r="J164" s="41" t="str">
        <x:v>https://wellcomelibrary.org/moh/report/b19883699</x:v>
      </x:c>
      <x:c r="K164" s="41" t="str">
        <x:v>data/moh_raw/Whitechapel_1897_b19883699_fulltext.txt</x:v>
      </x:c>
      <x:c r="L164" s="41" t="str">
        <x:v>I here reproduce it for your information. It is dated 17th February, 1897. "The attention of the Council has been directed from time to time to an insani"tary area in Whitechapel, known as the Bell Lane area. This area formed the "subject of a representation under the Artizans' Dwellings Acts in 1877, but no "scheme was framed by the Metropolitan Board of Works for dealing with it, and "after careful consideration of the matter in 1890 wo informed the Council thatwe "were unable to see our way to recommend the adoption of so large a scheme as "would be involved in the widening of Bell Lane and Sandy's Row, combined with "clearance of the central area. The Council subsequently resolved to widen "Sandy's Row, which partly bounded the represented area on the west side as a "street improvement�and this has to a small extent improved the condition of the "area. We are now glad to be able to report that an opportunity presents itself "of making a clearance of all the courts and alleys on that part of the area which "lies between Bell Lane and Sandy's Row.</x:v>
      </x:c>
    </x:row>
    <x:row r="165" ht="62" customHeight="1">
      <x:c r="A165" s="41" t="str">
        <x:v>1897_0023</x:v>
      </x:c>
      <x:c r="B165" s="41" t="n">
        <x:v>1897</x:v>
      </x:c>
      <x:c r="C165" s="41" t="n">
        <x:v>1898</x:v>
      </x:c>
      <x:c r="D165" s="41" t="str">
        <x:v>housing</x:v>
      </x:c>
      <x:c r="E165" s="41" t="str">
        <x:v>housing: dwellings</x:v>
      </x:c>
      <x:c r="F165" s="41" t="str">
        <x:v>No</x:v>
      </x:c>
      <x:c r="G165" s="41"/>
      <x:c r="H165" s="41" t="str">
        <x:v>No</x:v>
      </x:c>
      <x:c r="I165" s="41" t="str">
        <x:v>Wentworth Street</x:v>
      </x:c>
      <x:c r="J165" s="41" t="str">
        <x:v>https://wellcomelibrary.org/moh/report/b19883699</x:v>
      </x:c>
      <x:c r="K165" s="41" t="str">
        <x:v>data/moh_raw/Whitechapel_1897_b19883699_fulltext.txt</x:v>
      </x:c>
      <x:c r="L165" s="41" t="str">
        <x:v>We have be en in communication with Sir " Algernon Osborn, the freeholder of the Osborn estate, which includes the area "above-mentioned, and he is prepared to co-operate with the Council in improving 11 "and developing his estate, subject to the Council agreeing to sell for a reasonable "sum the frontages abutting on Sandy Row, and assisting to expedite the "formation of the new roads and the closing of the several courts and alleys. It "is proposed to close all existing courts and alleys, and to form a 40-feet street "from Wentworth Street, parallel to Sandy's Row and Bell Lane, continuing the "street round Tripe Yard into Sandy's Row, and to widen Cobb's Yard into a "40-feet street. Upon the formation of the roads, the land remaining will be "utilized for shops and domestic dwellings. The clearance of most of the proper"ties can be effected at once, but a small portion is held on leases which expire in "1922 and 1930. Sir A. Osborn's agents hope to be able to come to terms with "the tenants of these properties for a surrender of their interests before the expiry "of their leases.</x:v>
      </x:c>
    </x:row>
    <x:row r="166" ht="62" customHeight="1">
      <x:c r="A166" s="41" t="str">
        <x:v>1897_0024</x:v>
      </x:c>
      <x:c r="B166" s="41" t="n">
        <x:v>1897</x:v>
      </x:c>
      <x:c r="C166" s="41" t="n">
        <x:v>1898</x:v>
      </x:c>
      <x:c r="D166" s="41" t="str">
        <x:v>governance; inequality; sanitary</x:v>
      </x:c>
      <x:c r="E166" s="41" t="str">
        <x:v>governance: board | inequality: working classes | sanitary: water supply</x:v>
      </x:c>
      <x:c r="F166" s="41" t="str">
        <x:v>Yes</x:v>
      </x:c>
      <x:c r="G166" s="41"/>
      <x:c r="H166" s="41" t="str">
        <x:v>Yes</x:v>
      </x:c>
      <x:c r="I166" s="41" t="str"/>
      <x:c r="J166" s="41" t="str">
        <x:v>https://wellcomelibrary.org/moh/report/b19883699</x:v>
      </x:c>
      <x:c r="K166" s="41" t="str">
        <x:v>data/moh_raw/Whitechapel_1897_b19883699_fulltext.txt</x:v>
      </x:c>
      <x:c r="L166" s="41" t="str">
        <x:v>In the event, however, of an arrangement not being come to on "this point, we propose that the Council should ce-operate with Sir A. Osborn by "putting in force the provisions of the Housing of the Working Classes Act, 1890, "with a view to acquiring compulsorily suoh of the leasehold interests as he may "be unable to obtain possession of within a reasonable time, the Council being "reimbursed the cost of such acquisition." Then follows some details as to the prices agreed upon, and the proposed recommendation to the Council. I quite expected to have seen some evidence before now that the " Bell Lane area " scheme was at last likely to be an accomplished fact�but whatever the cause of the delay may be at present, the area remains in a worse state than ever. I am afraid it will be necessary for me to ask the Board to intervene with regard to some parts of the area. I do not propose to say much about the water supply in the District as a Royal Commission is now enquiring into the whole matter of the Metropolitan Water Supply.</x:v>
      </x:c>
    </x:row>
    <x:row r="167" ht="62" customHeight="1">
      <x:c r="A167" s="41" t="str">
        <x:v>1897_0058</x:v>
      </x:c>
      <x:c r="B167" s="41" t="n">
        <x:v>1897</x:v>
      </x:c>
      <x:c r="C167" s="41" t="n">
        <x:v>1898</x:v>
      </x:c>
      <x:c r="D167" s="41" t="str">
        <x:v>sanitary</x:v>
      </x:c>
      <x:c r="E167" s="41" t="str">
        <x:v>sanitary: dirty, nuisance, water supply</x:v>
      </x:c>
      <x:c r="F167" s="41" t="str">
        <x:v>No</x:v>
      </x:c>
      <x:c r="G167" s="41"/>
      <x:c r="H167" s="41" t="str">
        <x:v>No</x:v>
      </x:c>
      <x:c r="I167" s="41" t="str">
        <x:v>Commercial Street; Leman Street</x:v>
      </x:c>
      <x:c r="J167" s="41" t="str">
        <x:v>https://wellcomelibrary.org/moh/report/b19883699</x:v>
      </x:c>
      <x:c r="K167" s="41" t="str">
        <x:v>data/moh_raw/Whitechapel_1897_b19883699_fulltext.txt</x:v>
      </x:c>
      <x:c r="L167" s="41" t="str">
        <x:v>39 PROCEEDINGS TAKEN UNDER THE PUBLIC HEALTH (LONDON) ACT, 1891. Situation of Premises. Nature of Nuisance or Complaint. Date of hearing of Summons. Result. Commercial Street Selling oranges unfit for human food 1897 Jan. 16th Summons withdrawn. Insufficient evidence. 55, Leman Street Workshops not properly ventilated. Yard paving defective March 4th Work done. Summons withdrawn. 3s. costs paid. 18, Cotton Street Walls and ceilings dirty. Roof defective � 4th Work done. Summons withdrawn. 3s. costs paid. 32, Artillery Lane House unfit for human habitation � 17th Order to close. 6s. costs paid. 47a, Crispin Street � � � � 17th � � 6s. � 476, Crispin Street � � � � 17th � � 6s. |� 47c, Crispin Street � � � � 17th � 6s. � 48, Crispin Street � � � � 17th � � 6s. ,, 49, Crispin Street � � � ,, 17th � � 6s. ,, 33, Fieldgate Street W.C. in yard in filthy and dilapidated condition April 8th Work done. Summons withdrawn. 2s. costs paid. 3, Little Alie Street Roof of house defective. Workshop not properly ventilated � 8th Work done. Summons withdrawn. 3 &amp; 4, Spectacle Alley Walls and ceiling of staircase dirty. Yard paving defective. W.C. without proper water supply. Sink waste pipe defective � 22nd Work done. Summons withdrawn. 2s. costs paid. 2, Little Alie Street Workshop not properly ventilated April 22nd Work done. Summons withdrawn. 8, Duncan Street Roof of house defective. Rain water pipes at rear defective � 22nd � � � 4, Duncan Street Walls and ceilings of house dirty and dilapidated.</x:v>
      </x:c>
    </x:row>
    <x:row r="168" ht="62" customHeight="1">
      <x:c r="A168" s="41" t="str">
        <x:v>1897_0059</x:v>
      </x:c>
      <x:c r="B168" s="41" t="n">
        <x:v>1897</x:v>
      </x:c>
      <x:c r="C168" s="41" t="n">
        <x:v>1898</x:v>
      </x:c>
      <x:c r="D168" s="41" t="str">
        <x:v>housing; sanitary</x:v>
      </x:c>
      <x:c r="E168" s="41" t="str">
        <x:v>housing: rooms | sanitary: dirty, drain, nuisance, water supply</x:v>
      </x:c>
      <x:c r="F168" s="41" t="str">
        <x:v>No</x:v>
      </x:c>
      <x:c r="G168" s="41"/>
      <x:c r="H168" s="41" t="str">
        <x:v>No</x:v>
      </x:c>
      <x:c r="I168" s="41" t="str">
        <x:v>Wentworth Street; Thrawl Street; Brick Lane</x:v>
      </x:c>
      <x:c r="J168" s="41" t="str">
        <x:v>https://wellcomelibrary.org/moh/report/b19883699</x:v>
      </x:c>
      <x:c r="K168" s="41" t="str">
        <x:v>data/moh_raw/Whitechapel_1897_b19883699_fulltext.txt</x:v>
      </x:c>
      <x:c r="L168" s="41" t="str">
        <x:v>Roof of house defective � 22nd � � � 40 Situation of Premises. Nature of Nuisance or Complaint. Date of hearing of Summons. Result. Josephine House, Thrawl Street Permitting premises to be occupied without having first obtained a Certificate that such premises had a proper water supply May 4th Fined �l and 6s. costs. 72, Boyal Mint Street Drain defective. Walls and ceilings of house dirty. Boof defective. Basement paving defective June 10th Summons withdrawn. Work done. 23, Steward Street Walls and ceilings of workshop and several of the rooms dirty. Floor of basement on the earth. No water supply to W.C. on Flat. Boof of house and workshop defective � 16th Order to carry out necessary work in 7 days. �3 3s. and costs. Wentworth Street Exposing unsound fish for sale � 16th Defendant did not appear. Warrant issued for his arrest. Brick Lane Exposing unsound grapes and bananas for sale � 16th Fined �1 and 2s. costs, or 14 days' imprisonment. Defendant went to prison. 6, Cox Square Yard paving defective. W.C. connection defective � 16th Order to carry out necessary work in 7 days. 16, Great Alie Street Drain defective ,, 24th Summons withdrawn. Work done.</x:v>
      </x:c>
    </x:row>
    <x:row r="169" ht="62" customHeight="1">
      <x:c r="A169" s="41" t="str">
        <x:v>1897_0060</x:v>
      </x:c>
      <x:c r="B169" s="41" t="n">
        <x:v>1897</x:v>
      </x:c>
      <x:c r="C169" s="41" t="n">
        <x:v>1898</x:v>
      </x:c>
      <x:c r="D169" s="41" t="str">
        <x:v>sanitary</x:v>
      </x:c>
      <x:c r="E169" s="41" t="str">
        <x:v>sanitary: water supply</x:v>
      </x:c>
      <x:c r="F169" s="41" t="str">
        <x:v>No</x:v>
      </x:c>
      <x:c r="G169" s="41"/>
      <x:c r="H169" s="41" t="str">
        <x:v>No</x:v>
      </x:c>
      <x:c r="I169" s="41" t="str">
        <x:v>Wentworth Street</x:v>
      </x:c>
      <x:c r="J169" s="41" t="str">
        <x:v>https://wellcomelibrary.org/moh/report/b19883699</x:v>
      </x:c>
      <x:c r="K169" s="41" t="str">
        <x:v>data/moh_raw/Whitechapel_1897_b19883699_fulltext.txt</x:v>
      </x:c>
      <x:c r="L169" s="41" t="str">
        <x:v>Lamb Street Exposing tomatoes for sale July 14 th Stimmons withdrawn. Insufficient evidence. 70, Wentworth Street House unfit for human habitation � 20th Order to close. 4 &amp; 5, Steward Street Permitting premises to be occupied without having first obtained a Certificate that such premises had a proper water supply Nov. 25 th Summons withdrawn. 6s. costs paid. Vault under Netherlands Club, Bell Lane Large number of barrels containing offensive liquid injurious to health � 25th Summons withdrawn, �2 3s. costs paid. Total of Penalties and Costs, �9 4s. 0d.</x:v>
      </x:c>
    </x:row>
    <x:row r="170" ht="62" customHeight="1">
      <x:c r="A170" s="41" t="str">
        <x:v>1898_0001</x:v>
      </x:c>
      <x:c r="B170" s="41" t="n">
        <x:v>1898</x:v>
      </x:c>
      <x:c r="C170" s="41" t="n">
        <x:v>1899</x:v>
      </x:c>
      <x:c r="D170" s="41" t="str">
        <x:v>governance; sanitary</x:v>
      </x:c>
      <x:c r="E170" s="41" t="str">
        <x:v>governance: board, local government board, medical officer | sanitary: sanitary</x:v>
      </x:c>
      <x:c r="F170" s="41" t="str">
        <x:v>No</x:v>
      </x:c>
      <x:c r="G170" s="41"/>
      <x:c r="H170" s="41" t="str">
        <x:v>No</x:v>
      </x:c>
      <x:c r="I170" s="41" t="str">
        <x:v>Whitechapel Road</x:v>
      </x:c>
      <x:c r="J170" s="41" t="str">
        <x:v>https://wellcomelibrary.org/moh/report/b19883705</x:v>
      </x:c>
      <x:c r="K170" s="41" t="str">
        <x:v>data/moh_raw/Whitechapel_1898_b19883705_fulltext.txt</x:v>
      </x:c>
      <x:c r="L170" s="41" t="str">
        <x:v>WHI 43 THE ANNUAL REPORT ON THE SANITARY CONDITION OF THE WHITECHAPEL DISTRICT, WITH VITAL AND OTHER STATISTICS FOR THE YEAR 1898 (CONSISTING OF 52 WEEKS) being the FIFTEENTH ANNUAL REPORT, by JOSEPH LOANE, MEDICAL OFFICER OF HEALTH; DIPLOMATE IN PUBLIC HEALTH, UNIVERSITY OF CAMBRIDGE FELLOW OF THE INCORPORATED SOCIETY OF MEDICAL OFFICERS OF HEALTH; ASSOCIATE OF THE COLLEGE OF STATE MEDICINE; MEMBER OF THE SANITARY INSTITUTE; PUBLIC VACCINATOR TO THE WHITECHAPEL UNION; EXAMINER IN, AND INSTRUCTOR OF, VACCINATION, BY ORDER OF THE LOCAL GOVERNMENT BOARD; &amp;c. 1899: LEVY &amp; Co., Printers and Stationers, 23, Whitechapel Road, London, E, (Registered at London Society of Compositors.) Offices of the Board of Works for the Whitechapel District. Public Health Department: No. 15, Great Ale Street, London, E., To the Board of Works, January 10th, 1899. Gentlemen, In arranging the various tables and statistics which I have included in this Report, it has been my care with regard to them all, that they shall be capable not only of explaining themselves, so far as the year under consideration is concerned, but that they shall be available for comparison with any and all of the previous fourteen years which have passed since I became your Medical Officer of Health.</x:v>
      </x:c>
    </x:row>
    <x:row r="171" ht="62" customHeight="1">
      <x:c r="A171" s="41" t="str">
        <x:v>1898_0003</x:v>
      </x:c>
      <x:c r="B171" s="41" t="n">
        <x:v>1898</x:v>
      </x:c>
      <x:c r="C171" s="41" t="n">
        <x:v>1899</x:v>
      </x:c>
      <x:c r="D171" s="41" t="str">
        <x:v>disease; governance; sanitary</x:v>
      </x:c>
      <x:c r="E171" s="41" t="str">
        <x:v>disease: isolation | governance: medical officer | sanitary: refuse</x:v>
      </x:c>
      <x:c r="F171" s="41" t="str">
        <x:v>No</x:v>
      </x:c>
      <x:c r="G171" s="41"/>
      <x:c r="H171" s="41" t="str">
        <x:v>No</x:v>
      </x:c>
      <x:c r="I171" s="41" t="str"/>
      <x:c r="J171" s="41" t="str">
        <x:v>https://wellcomelibrary.org/moh/report/b19883705</x:v>
      </x:c>
      <x:c r="K171" s="41" t="str">
        <x:v>data/moh_raw/Whitechapel_1898_b19883705_fulltext.txt</x:v>
      </x:c>
      <x:c r="L171" s="41" t="str">
        <x:v>The Medical Officer of Health, in reporting "his proceedings and advice, should take special care to report fully and "explicitly on the influences affecting or threatening to affect injuriously the "public health within the district; and the causes, origin, and distribution of "disease within the district may usefully be the subjects of annual record. "An account should also be given, both of the actual circumstances of the "district up to the end of the past year, and of any improvement or deteriora"tion that has occurred during the year in conditions conducive to health or "to disease. For example, a vigilant health officer has in his Annual Report "an opportunity for pointing out any facts as to water supplies and house "construction, conditions of storage, and of removal of refuse customary in the "district; together with any facts as to the adequacy or inadequacy of means "of isolation and of disinfection, and the like.</x:v>
      </x:c>
    </x:row>
    <x:row r="172" ht="62" customHeight="1">
      <x:c r="A172" s="41" t="str">
        <x:v>1898_0004</x:v>
      </x:c>
      <x:c r="B172" s="41" t="n">
        <x:v>1898</x:v>
      </x:c>
      <x:c r="C172" s="41" t="n">
        <x:v>1899</x:v>
      </x:c>
      <x:c r="D172" s="41" t="str">
        <x:v>governance; sanitary</x:v>
      </x:c>
      <x:c r="E172" s="41" t="str">
        <x:v>governance: board, inspections, medical officer | sanitary: nuisances</x:v>
      </x:c>
      <x:c r="F172" s="41" t="str">
        <x:v>No</x:v>
      </x:c>
      <x:c r="G172" s="41"/>
      <x:c r="H172" s="41" t="str">
        <x:v>No</x:v>
      </x:c>
      <x:c r="I172" s="41" t="str"/>
      <x:c r="J172" s="41" t="str">
        <x:v>https://wellcomelibrary.org/moh/report/b19883705</x:v>
      </x:c>
      <x:c r="K172" s="41" t="str">
        <x:v>data/moh_raw/Whitechapel_1898_b19883705_fulltext.txt</x:v>
      </x:c>
      <x:c r="L172" s="41" t="str">
        <x:v>And such a Health Officer, "reporting on the diseases and their causes within the district, will generally "have some instructive details to give, either of conditions newly productive "of disease, or of matters that have been remedied with advantage to the "public health." "In making systematic inspections, as in much of his other action, the "Medical Officer of Health will usually have required the assistance of the 4 "Inspectors of Nuisances; and it will be for the Medical Officer to include in "his report an account of the action which, at his instance, the inspectors "may have taken for the removal of nuisances injurious to health." "What has been said above with regard to the information which an annual report should contain must be understood, not as suggesting that the 'report should be limited to these subjects, or that more detailed or differently "arranged tabular statements may not be added, but as indicating the sort of "information required by the Board's Order.</x:v>
      </x:c>
    </x:row>
    <x:row r="173" ht="62" customHeight="1">
      <x:c r="A173" s="41" t="str">
        <x:v>1898_0007</x:v>
      </x:c>
      <x:c r="B173" s="41" t="n">
        <x:v>1898</x:v>
      </x:c>
      <x:c r="C173" s="41" t="n">
        <x:v>1899</x:v>
      </x:c>
      <x:c r="D173" s="41" t="str">
        <x:v>governance; sanitary</x:v>
      </x:c>
      <x:c r="E173" s="41" t="str">
        <x:v>governance: board | sanitary: water supply</x:v>
      </x:c>
      <x:c r="F173" s="41" t="str">
        <x:v>No</x:v>
      </x:c>
      <x:c r="G173" s="41"/>
      <x:c r="H173" s="41" t="str">
        <x:v>No</x:v>
      </x:c>
      <x:c r="I173" s="41" t="str"/>
      <x:c r="J173" s="41" t="str">
        <x:v>https://wellcomelibrary.org/moh/report/b19883705</x:v>
      </x:c>
      <x:c r="K173" s="41" t="str">
        <x:v>data/moh_raw/Whitechapel_1898_b19883705_fulltext.txt</x:v>
      </x:c>
      <x:c r="L173" s="41" t="str">
        <x:v>On the 1st January, 1899, the registration work of the three new sub-districts commenced under the three registrars already in occupation of the appointments. The great question which has occupied the attention of the East End Boards and Vestries during the summer months, has been how the inability on the part of the East London Water Company to maintain a constant service of water could be dealt with. The history, so far as our district is concerned, may be stated chronologically thus:�On Monday, the 22nd of August, the East London Water Company discontinued the constant Service and the Water was 'turned on in the District for three hours in the morning and three hours in the evening. On Monday, the 29th of August, a special Board Meeting was convened, and 5 approval was given to the arrangements which the officers had made to avert, as far as practicable, the difficulty arising from the limitation of water supply. On Saturday, the 3rd September, a further diminution in supply took place, and from that date water was only turned on for two hours twice daily.</x:v>
      </x:c>
    </x:row>
    <x:row r="174" ht="62" customHeight="1">
      <x:c r="A174" s="41" t="str">
        <x:v>1898_0008</x:v>
      </x:c>
      <x:c r="B174" s="41" t="n">
        <x:v>1898</x:v>
      </x:c>
      <x:c r="C174" s="41" t="n">
        <x:v>1899</x:v>
      </x:c>
      <x:c r="D174" s="41" t="str">
        <x:v>governance; inequality; sanitary</x:v>
      </x:c>
      <x:c r="E174" s="41" t="str">
        <x:v>governance: board, notices | inequality: poor, poorer | sanitary: drains, nuisance, water supply</x:v>
      </x:c>
      <x:c r="F174" s="41" t="str">
        <x:v>Yes</x:v>
      </x:c>
      <x:c r="G174" s="41"/>
      <x:c r="H174" s="41" t="str">
        <x:v>Yes</x:v>
      </x:c>
      <x:c r="I174" s="41" t="str"/>
      <x:c r="J174" s="41" t="str">
        <x:v>https://wellcomelibrary.org/moh/report/b19883705</x:v>
      </x:c>
      <x:c r="K174" s="41" t="str">
        <x:v>data/moh_raw/Whitechapel_1898_b19883705_fulltext.txt</x:v>
      </x:c>
      <x:c r="L174" s="41" t="str">
        <x:v>Stand pipes for the supply of water were erected in prominent places. Street watering and gulley flushing ceased to take place with East London Water�but water from the New River, as well as from the well in the Destructor Yard was freely used for these purposes. The East London Waterworks Company arranged to supply the Board with as many stone jars as should be required for distribution among the poorer inhabitants who were unable to store water for drinking purposes. Notices were printed and distributed throughout the District informing the inhabitants of the hours when the Company had arranged to turn on the water, and also stating that application could be made at the Offices of the Board by persons who required jars. The reason for the latter notice was to enable the Inspectors to visit the homes of applicants, to get information at once of any nuisance which might arise through the limitation of the Water Supply. It soon became apparent that the pans of water closets in the homes of the poor were liable to become choked, and that the house drains became foul where they were used by many people.</x:v>
      </x:c>
    </x:row>
    <x:row r="175" ht="62" customHeight="1">
      <x:c r="A175" s="41" t="str">
        <x:v>1898_0009</x:v>
      </x:c>
      <x:c r="B175" s="41" t="n">
        <x:v>1898</x:v>
      </x:c>
      <x:c r="C175" s="41" t="n">
        <x:v>1899</x:v>
      </x:c>
      <x:c r="D175" s="41" t="str">
        <x:v>disease; housing; inequality; sanitary</x:v>
      </x:c>
      <x:c r="E175" s="41" t="str">
        <x:v>disease: notification | housing: houses | inequality: poorest | sanitary: water supply</x:v>
      </x:c>
      <x:c r="F175" s="41" t="str">
        <x:v>Yes</x:v>
      </x:c>
      <x:c r="G175" s="41"/>
      <x:c r="H175" s="41" t="str">
        <x:v>Yes</x:v>
      </x:c>
      <x:c r="I175" s="41" t="str"/>
      <x:c r="J175" s="41" t="str">
        <x:v>https://wellcomelibrary.org/moh/report/b19883705</x:v>
      </x:c>
      <x:c r="K175" s="41" t="str">
        <x:v>data/moh_raw/Whitechapel_1898_b19883705_fulltext.txt</x:v>
      </x:c>
      <x:c r="L175" s="41" t="str">
        <x:v>With the co-operation of the Surveyor, after a consultation with that gentleman and with the Clerks, it was arranged that water vans should be employed to take water to those houses which required it, and that regular daily flushing of water closets of such houses should be carried out. From this time until the Company renewed the constant water supply, nine men were constantly employed with three water vans in carrying on this useful work Each closet which was discovered to be choked, was cleared by means of a plunger, then pails of water were dashed down, and disinfectants were also freely used. Constant service was resumed on the 12th of December, a nine hours supply having taken place on November 23rd. In addition to the above measures, disinfection was regularly performed with per-chloride solution by an additional man. The water closets connected with nearly 300 of the houses occupied by the poorest people were thus daily treated. Whether these precautions limited the number of Infectious cases it is of course impossible to say, but it is interesting to note that the fees paid during the third quarter, for the notification of such diseases, were the lowest since any record has been kept.</x:v>
      </x:c>
    </x:row>
    <x:row r="176" ht="62" customHeight="1">
      <x:c r="A176" s="41" t="str">
        <x:v>1898_0010</x:v>
      </x:c>
      <x:c r="B176" s="41" t="n">
        <x:v>1898</x:v>
      </x:c>
      <x:c r="C176" s="41" t="n">
        <x:v>1899</x:v>
      </x:c>
      <x:c r="D176" s="41" t="str">
        <x:v>disease; governance; housing; sanitary</x:v>
      </x:c>
      <x:c r="E176" s="41" t="str">
        <x:v>disease: notification | governance: board | housing: houses | sanitary: nuisances</x:v>
      </x:c>
      <x:c r="F176" s="41" t="str">
        <x:v>No</x:v>
      </x:c>
      <x:c r="G176" s="41"/>
      <x:c r="H176" s="41" t="str">
        <x:v>No</x:v>
      </x:c>
      <x:c r="I176" s="41" t="str"/>
      <x:c r="J176" s="41" t="str">
        <x:v>https://wellcomelibrary.org/moh/report/b19883705</x:v>
      </x:c>
      <x:c r="K176" s="41" t="str">
        <x:v>data/moh_raw/Whitechapel_1898_b19883705_fulltext.txt</x:v>
      </x:c>
      <x:c r="L176" s="41" t="str">
        <x:v>The number of cases of Infectious disease will be found in Table " O " of the Appendix. During the year, the Fees paid for notification of Infectious diseases amounted to the sum of ,�68 11s., and for the three previous years the Fees were respectively ,�109 11s. ; �131 6s.; and �110 5s. It is not within my province to discuss the great water question�but I do say that means should be taken to prevent any limitation of pure water in the future. Although connected with the Surveyor's Department, I may be permitted to state that so soon as the necessary arrangements have been completed, the dustmen will call at the houses for the dust pails. They will then cease to remain upon the pavements as eyesores and often nuisances, as at present. By direction of the Chairman of the Board, a sample of water from the Destructor Yard was submitted to Professor Attfield. The result of his analysis is given below, 6 REPORT ON A SAMPLE OF WATER TAKEN FROM THE WELL IN THE DESTRUCTOR YARD:� Report on a sample of water received from Dr.</x:v>
      </x:c>
    </x:row>
    <x:row r="177" ht="62" customHeight="1">
      <x:c r="A177" s="41" t="str">
        <x:v>1898_0023</x:v>
      </x:c>
      <x:c r="B177" s="41" t="n">
        <x:v>1898</x:v>
      </x:c>
      <x:c r="C177" s="41" t="n">
        <x:v>1899</x:v>
      </x:c>
      <x:c r="D177" s="41" t="str">
        <x:v>governance; housing</x:v>
      </x:c>
      <x:c r="E177" s="41" t="str">
        <x:v>governance: board | housing: model dwellings, overcrowding</x:v>
      </x:c>
      <x:c r="F177" s="41" t="str">
        <x:v>No</x:v>
      </x:c>
      <x:c r="G177" s="41"/>
      <x:c r="H177" s="41" t="str">
        <x:v>No</x:v>
      </x:c>
      <x:c r="I177" s="41" t="str"/>
      <x:c r="J177" s="41" t="str">
        <x:v>https://wellcomelibrary.org/moh/report/b19883705</x:v>
      </x:c>
      <x:c r="K177" s="41" t="str">
        <x:v>data/moh_raw/Whitechapel_1898_b19883705_fulltext.txt</x:v>
      </x:c>
      <x:c r="L177" s="41" t="str">
        <x:v>model dwellings as may fall below a standard to be agreed upon by the Board. If the population as given be correct, the death-rate in the Model Dwellings for the year was only 16.1 per 1,000, and the Zymotic death-rate equalled 1.4 per 1,000. Apropos of this matter comes the question of overcrowding and of high rents. I am aware that some exaggeration has taken place in considering the former; as regards the latter, it is most probable that therein will be found the kernel of the whole problem. While it is possible for property to fetch a sum at public auction which will allow to the purchaser 5 per cent. on his outlay, and when the cost of structural alterations and repairs are added to the purchase-money, how can the future tenants obtain possession without paying high rents. This explains the reason for people offering large premiums for the keys, and engaging to pay increased rents; this explains why the new tenants have to sub-let to the utmost capacity of the premises. This condition has been continually increasing, and the end of the difficulty has not yet been reached.</x:v>
      </x:c>
    </x:row>
    <x:row r="178" ht="62" customHeight="1">
      <x:c r="A178" s="41" t="str">
        <x:v>1898_0046</x:v>
      </x:c>
      <x:c r="B178" s="41" t="n">
        <x:v>1898</x:v>
      </x:c>
      <x:c r="C178" s="41" t="n">
        <x:v>1899</x:v>
      </x:c>
      <x:c r="D178" s="41" t="str">
        <x:v>governance; housing</x:v>
      </x:c>
      <x:c r="E178" s="41" t="str">
        <x:v>governance: board, inspection, inspector, medical officer | housing: overcrowding</x:v>
      </x:c>
      <x:c r="F178" s="41" t="str">
        <x:v>No</x:v>
      </x:c>
      <x:c r="G178" s="41"/>
      <x:c r="H178" s="41" t="str">
        <x:v>No</x:v>
      </x:c>
      <x:c r="I178" s="41" t="str"/>
      <x:c r="J178" s="41" t="str">
        <x:v>https://wellcomelibrary.org/moh/report/b19883705</x:v>
      </x:c>
      <x:c r="K178" s="41" t="str">
        <x:v>data/moh_raw/Whitechapel_1898_b19883705_fulltext.txt</x:v>
      </x:c>
      <x:c r="L178" s="41" t="str">
        <x:v>28th July. Fined 5/6 &amp; 14/6 costs. Milk. Adulterated with 18 per cent. of water. 30th December. Fined �1 8s. &amp; 2/- costs. RICHARD SKIDMORE WRACK, Inspector Appointed under the said Acts. 35 Board or Works, Whitechapel District, Public Health Department. To Dr. Joseph Loane, Medical Officer of Health Sir, According to the usual custom we hand you herewith a Tabulated Statement, setting out the work carried out by us during the past year. It will be seen that a large amount of work has again been accomplished. The space which it would require, alone prevents us giving details of the work. House to house inspection has been systematically carried out during the year. Many night visits have been made with the view to the discovery of overcrowding. Great care and attention was paid to the question of unwholesome Food. At the foot of the Statement above referred to will be found particulars of the Articles seized and destroyed. Only 18 Summones were issued under the Public Health (London) Act during the year�a decrease of 8 as compared with last year. The Fines and Costs recovered amounted in all to �32 2s.</x:v>
      </x:c>
    </x:row>
    <x:row r="179" ht="62" customHeight="1">
      <x:c r="A179" s="41" t="str">
        <x:v>1898_0049</x:v>
      </x:c>
      <x:c r="B179" s="41" t="n">
        <x:v>1898</x:v>
      </x:c>
      <x:c r="C179" s="41" t="n">
        <x:v>1899</x:v>
      </x:c>
      <x:c r="D179" s="41" t="str">
        <x:v>housing; sanitary</x:v>
      </x:c>
      <x:c r="E179" s="41" t="str">
        <x:v>housing: overcrowded | sanitary: dirty, drain, nuisance</x:v>
      </x:c>
      <x:c r="F179" s="41" t="str">
        <x:v>No</x:v>
      </x:c>
      <x:c r="G179" s="41"/>
      <x:c r="H179" s="41" t="str">
        <x:v>No</x:v>
      </x:c>
      <x:c r="I179" s="41" t="str">
        <x:v>Wentworth Street</x:v>
      </x:c>
      <x:c r="J179" s="41" t="str">
        <x:v>https://wellcomelibrary.org/moh/report/b19883705</x:v>
      </x:c>
      <x:c r="K179" s="41" t="str">
        <x:v>data/moh_raw/Whitechapel_1898_b19883705_fulltext.txt</x:v>
      </x:c>
      <x:c r="L179" s="41" t="str">
        <x:v>83 was too small to be determined; therefore there was insufficient in either to be injurious to health. Both samples were submitted to bacteriological examination, but I was unable to detect a single pathogenic organism in either. I am, dear Sir, Yours faithfully, W. C. YOUNG. 38 PROCEEDINGS TAKEN UNDER THE PUBLIC HEALTH (LONDON) ACT, 1891. Situation of Premises. Nature of Nuisance or Complaint. Date of hearing of Summons. Result. 32, Church Lane Defective drain. Walls and ceilings of house dirty. Floor of front basement on the bare earth. Roof defective 1898 March 3rd Order to close. �1 7s. costs. 1, Booth Street Buildings Room used as a school insufficiently ventilated. Overcrowded during school hours. No W.C. accommodation for scholars � 4th Dismissed. Wentworth Street Exposing for sale gurnets unfit for food � 4th Fined �5. 114a, Booth Street Buildings Room, used as a workshop, filthy � 4th Order to cleanse in 7 days. 6s. costs. 122, Booth Street Buildings � � � � 4th � � 6s. costs. 18, Booth Street Buildings Room overcrowded � 4th Order to abate in 10 days. 6s. costs. 18, Great Prescot Street Defective drain � 24th Order to abate in 14 days. �1 7s. costs. 10, Fieldgate Street Roof of workshop defective � 24th Work done.</x:v>
      </x:c>
    </x:row>
    <x:row r="180" ht="62" customHeight="1">
      <x:c r="A180" s="41" t="str">
        <x:v>1899_0001</x:v>
      </x:c>
      <x:c r="B180" s="41" t="n">
        <x:v>1899</x:v>
      </x:c>
      <x:c r="C180" s="41" t="n">
        <x:v>1900</x:v>
      </x:c>
      <x:c r="D180" s="41" t="str">
        <x:v>governance; sanitary</x:v>
      </x:c>
      <x:c r="E180" s="41" t="str">
        <x:v>governance: board, local government board, medical officer | sanitary: sanitary</x:v>
      </x:c>
      <x:c r="F180" s="41" t="str">
        <x:v>No</x:v>
      </x:c>
      <x:c r="G180" s="41"/>
      <x:c r="H180" s="41" t="str">
        <x:v>No</x:v>
      </x:c>
      <x:c r="I180" s="41" t="str"/>
      <x:c r="J180" s="41" t="str">
        <x:v>https://wellcomelibrary.org/moh/report/b19883717</x:v>
      </x:c>
      <x:c r="K180" s="41" t="str">
        <x:v>data/moh_raw/Whitechapel_1899_b19883717_fulltext.txt</x:v>
      </x:c>
      <x:c r="L180" s="41" t="str">
        <x:v>342.h. WHI 44 THE ANNUAL REPORT on the SANITARY CONDITION of the WHITECHAPEL DISTRICT, (WITH VITAL AND OTHER STATISTICS), FOR THE YEAH 1899, (CONSISTING OF 52 WEEKS), being the SIXTEENTH ANNUAL REPORT, by JOSEPH LOANE, MEDICAL OFFICER OF HEALTH; diplomate in public health, university of cambridge; fellow of the incorporated society of medical officers of health; associate of the college of state medicine; member of the sanitary institute; public vaccinator to the whitechipel union; examiner in, and instructor of vaccination, by order of the local government board; &amp;c. LONDON: PRINTED BY GEORGE STRVENS &amp; CO., Ltd. 113, Middlesex Street, Bishopsgate, E.C. 1900. Presented to the Board on the 25th January. 19OO. Offices of the Board of Works for the Whiteohapel District. Public Health Department : No. 15, Great Alie Street, London, E., January 11th, 1900. To the Chairman and Members of the Whitechapel District Board of Works. Gentlemen, Nearly seventeen years have passed since I was appointed by your Board, and became responsible for the supervision of the Public Health Work of the District. Many changes have taken place since then, several of which I propose to briefly consider.</x:v>
      </x:c>
    </x:row>
    <x:row r="181" ht="62" customHeight="1">
      <x:c r="A181" s="41" t="str">
        <x:v>1899_0002</x:v>
      </x:c>
      <x:c r="B181" s="41" t="n">
        <x:v>1899</x:v>
      </x:c>
      <x:c r="C181" s="41" t="n">
        <x:v>1900</x:v>
      </x:c>
      <x:c r="D181" s="41" t="str">
        <x:v>governance; housing; inequality</x:v>
      </x:c>
      <x:c r="E181" s="41" t="str">
        <x:v>governance: board, medical officer | housing: dwellings, houses | inequality: working classes</x:v>
      </x:c>
      <x:c r="F181" s="41" t="str">
        <x:v>Yes</x:v>
      </x:c>
      <x:c r="G181" s="41" t="str">
        <x:v>foreign population</x:v>
      </x:c>
      <x:c r="H181" s="41" t="str">
        <x:v>Yes</x:v>
      </x:c>
      <x:c r="I181" s="41" t="str"/>
      <x:c r="J181" s="41" t="str">
        <x:v>https://wellcomelibrary.org/moh/report/b19883717</x:v>
      </x:c>
      <x:c r="K181" s="41" t="str">
        <x:v>data/moh_raw/Whitechapel_1899_b19883717_fulltext.txt</x:v>
      </x:c>
      <x:c r="L181" s="41" t="str">
        <x:v>Many houses existed in the year 1883 which have been replaced by dwellings better suited for occupation by the Working Classes. Under the provisions of the Artizans and Labourers' Dwellings Acts a good deal of vacant land existed upon which now stand dwellings which afford a splendid contrast to those which formerly existed. Not only have many parts of the District became thus changed, but the population as well have become altered in character and in nationality. As it is possible that this may be my last Annual Health Report (it certainly will be my last as the Medical Officer of your Board) I thought that it would be interesting to most members, and perhaps it might afford information to some, if I were to devote a few lines, and also a comprehensive Table, to explain some of those changes which have taken place. The Census Returns of 1891 gave evidence of the enormous increase in the Foreign population which had taken place during the preceding ten years. In my opinion that increase has been maintained.</x:v>
      </x:c>
    </x:row>
    <x:row r="182" ht="62" customHeight="1">
      <x:c r="A182" s="41" t="str">
        <x:v>1899_0003</x:v>
      </x:c>
      <x:c r="B182" s="41" t="n">
        <x:v>1899</x:v>
      </x:c>
      <x:c r="C182" s="41" t="n">
        <x:v>1900</x:v>
      </x:c>
      <x:c r="D182" s="41" t="str">
        <x:v>governance; housing</x:v>
      </x:c>
      <x:c r="E182" s="41" t="str">
        <x:v>governance: board, local government board | housing: houses</x:v>
      </x:c>
      <x:c r="F182" s="41" t="str">
        <x:v>No</x:v>
      </x:c>
      <x:c r="G182" s="41" t="str">
        <x:v>foreign population</x:v>
      </x:c>
      <x:c r="H182" s="41" t="str">
        <x:v>Yes</x:v>
      </x:c>
      <x:c r="I182" s="41" t="str"/>
      <x:c r="J182" s="41" t="str">
        <x:v>https://wellcomelibrary.org/moh/report/b19883717</x:v>
      </x:c>
      <x:c r="K182" s="41" t="str">
        <x:v>data/moh_raw/Whitechapel_1899_b19883717_fulltext.txt</x:v>
      </x:c>
      <x:c r="L182" s="41" t="str">
        <x:v>At the present time a stranger might readily imagine some parts of our District to belong to a Continental City. The general result from a Public Health point of view of this increase in the Foreign population has been to call for much greater vigilance on the part of your Officers, for I am compelled to admit that neither the owners of houses in the Foreign portions of the District, nor the Tenants themselves, are inclined voluntarily to exert themselves to maintain their property in the best approved condition. It was at first thought that the Public Health (London) Act, 1891, Sec. 94, would have proved most useful in this direction. I anticipated when that class of property which I am now considering was registered, that it would become a simple matter to enforce the provisions of the byelaws which were made under that Section, and which were approved by the Local Government Board. There was a stumbling-block, however, in the exemption clause which permitted the very places to escape registration for which the clause had evidently been framed, merely because higher rents were imposed than allowed them to be included upon the Register for "Houses let in Lodgings and occupied by members of more than one Family." 4 Your Board recently had this question under discussion.</x:v>
      </x:c>
    </x:row>
    <x:row r="183" ht="62" customHeight="1">
      <x:c r="A183" s="41" t="str">
        <x:v>1899_0004</x:v>
      </x:c>
      <x:c r="B183" s="41" t="n">
        <x:v>1899</x:v>
      </x:c>
      <x:c r="C183" s="41" t="n">
        <x:v>1900</x:v>
      </x:c>
      <x:c r="D183" s="41" t="str">
        <x:v>governance; housing</x:v>
      </x:c>
      <x:c r="E183" s="41" t="str">
        <x:v>governance: inspector, local government board | housing: dwellings, houses, overcrowding, tenement</x:v>
      </x:c>
      <x:c r="F183" s="41" t="str">
        <x:v>No</x:v>
      </x:c>
      <x:c r="G183" s="41"/>
      <x:c r="H183" s="41" t="str">
        <x:v>No</x:v>
      </x:c>
      <x:c r="I183" s="41" t="str"/>
      <x:c r="J183" s="41" t="str">
        <x:v>https://wellcomelibrary.org/moh/report/b19883717</x:v>
      </x:c>
      <x:c r="K183" s="41" t="str">
        <x:v>data/moh_raw/Whitechapel_1899_b19883717_fulltext.txt</x:v>
      </x:c>
      <x:c r="L183" s="41" t="str">
        <x:v>After much consideration a representation was made to the Local Government Board for permission to amend the exemption clause of the 94th Section of the Act. The necessity of a change was so apparent that the approval of the Local Government Board was at once given to your proposal, so that houses are now liable to registration where the lodger rental does not exceed seven shillings and sixpence per week for unfurnished apartments, and fifteen shillings per week where the apartments are let furnished. The latter case concerns the District to a very limited extent. The effect of this modification will be that many more additions will be made to the Register, and probably in time the services of an Inspector may be required to permit such dwellings to receive sufficient visitation. Such houses, liable as they undoubtedly are, to all the evils produced by overcrowding, should be inspected, if possible, weekly. During the year under consideration, I have become aware in the hundreds of houses I have myself inspected, of instances where part of a two or three-roomed tenement has been sub-let to others by the tenant.</x:v>
      </x:c>
    </x:row>
    <x:row r="184" ht="62" customHeight="1">
      <x:c r="A184" s="41" t="str">
        <x:v>1899_0005</x:v>
      </x:c>
      <x:c r="B184" s="41" t="n">
        <x:v>1899</x:v>
      </x:c>
      <x:c r="C184" s="41" t="n">
        <x:v>1900</x:v>
      </x:c>
      <x:c r="D184" s="41" t="str">
        <x:v>governance; housing; sanitary</x:v>
      </x:c>
      <x:c r="E184" s="41" t="str">
        <x:v>governance: inspection | housing: dwellings, houses | sanitary: refuse</x:v>
      </x:c>
      <x:c r="F184" s="41" t="str">
        <x:v>No</x:v>
      </x:c>
      <x:c r="G184" s="41"/>
      <x:c r="H184" s="41" t="str">
        <x:v>No</x:v>
      </x:c>
      <x:c r="I184" s="41" t="str"/>
      <x:c r="J184" s="41" t="str">
        <x:v>https://wellcomelibrary.org/moh/report/b19883717</x:v>
      </x:c>
      <x:c r="K184" s="41" t="str">
        <x:v>data/moh_raw/Whitechapel_1899_b19883717_fulltext.txt</x:v>
      </x:c>
      <x:c r="L184" s="41" t="str">
        <x:v>Only persistent regular inspection can cope with such a practice. I am somewhat concerned for the Public Health Work in the future of our own section of the new Municipality which will commence its official life in November of the present year 1900. I do not desire to disparage the good work which is being performed by the other Districts to which we are to be united, but in many ways Whitechapel differs from the others. It employs a much larger staff of Inspectors in comparison with its population than does any of the others, and yet I feel sure no one will think that too many are engaged in the work which is required, having consideration for the class of dwellings and the inhabitants who live in them. With other good movements in the District, I am not now directly concerned, but we may well be proud of our Destructor Works, and the Electric Lighting Installation; of our well constructed Baths and Washouses; of our Free Library and Museum; of the Art Gallery, now approaching completion; of the methods for the collection and disposal of refuse from the streets and from the houses, as well as of our Public Mortuary and Coroner's Court; our open spaces, too, are worthy of note.</x:v>
      </x:c>
    </x:row>
    <x:row r="185" ht="62" customHeight="1">
      <x:c r="A185" s="41" t="str">
        <x:v>1899_0006</x:v>
      </x:c>
      <x:c r="B185" s="41" t="n">
        <x:v>1899</x:v>
      </x:c>
      <x:c r="C185" s="41" t="n">
        <x:v>1900</x:v>
      </x:c>
      <x:c r="D185" s="41" t="str">
        <x:v>housing; sanitary</x:v>
      </x:c>
      <x:c r="E185" s="41" t="str">
        <x:v>housing: dwellings | sanitary: drainage</x:v>
      </x:c>
      <x:c r="F185" s="41" t="str">
        <x:v>No</x:v>
      </x:c>
      <x:c r="G185" s="41"/>
      <x:c r="H185" s="41" t="str">
        <x:v>No</x:v>
      </x:c>
      <x:c r="I185" s="41" t="str"/>
      <x:c r="J185" s="41" t="str">
        <x:v>https://wellcomelibrary.org/moh/report/b19883717</x:v>
      </x:c>
      <x:c r="K185" s="41" t="str">
        <x:v>data/moh_raw/Whitechapel_1899_b19883717_fulltext.txt</x:v>
      </x:c>
      <x:c r="L185" s="41" t="str">
        <x:v>In the partnership now so soon to take place, Whitechapel will, at least, contribute most valuable assets. Probably no part of old London has, during the past twenty years, been able to show more general improvements. In exchanging new buildings for old worn out dwellings, as well as in comprehensive schemes of improved drainage, a great advance has taken place. I invite attention to the Report which I prepared by your direction for the London County Council, and also to the Tables which I appended to that Report. The latter I have extended so as to include the past twenty years. These statements are placed at the end of this Report. What have all these changes done for the general good of the District ? How do we know, that apart from improved appearance, the result has justified the expenditure ? Let me merely draw attention to the comparative death-rate as a sufficient reply. In the year 1879 the Whitechapel District death-rate was stated to be 26.0 per 1,000. At the present time it is 19.3 per 1,000.</x:v>
      </x:c>
    </x:row>
    <x:row r="186" ht="62" customHeight="1">
      <x:c r="A186" s="41" t="str">
        <x:v>1899_0007</x:v>
      </x:c>
      <x:c r="B186" s="41" t="n">
        <x:v>1899</x:v>
      </x:c>
      <x:c r="C186" s="41" t="n">
        <x:v>1900</x:v>
      </x:c>
      <x:c r="D186" s="41" t="str">
        <x:v>governance; sanitary</x:v>
      </x:c>
      <x:c r="E186" s="41" t="str">
        <x:v>governance: board, medical officer | sanitary: sanitary</x:v>
      </x:c>
      <x:c r="F186" s="41" t="str">
        <x:v>No</x:v>
      </x:c>
      <x:c r="G186" s="41"/>
      <x:c r="H186" s="41" t="str">
        <x:v>No</x:v>
      </x:c>
      <x:c r="I186" s="41" t="str"/>
      <x:c r="J186" s="41" t="str">
        <x:v>https://wellcomelibrary.org/moh/report/b19883717</x:v>
      </x:c>
      <x:c r="K186" s="41" t="str">
        <x:v>data/moh_raw/Whitechapel_1899_b19883717_fulltext.txt</x:v>
      </x:c>
      <x:c r="L186" s="41" t="str">
        <x:v>This in itself is of course most satisfactory, but it becomes still more so when the difference between our death-rate and that for the entire Metropolis is compared for the two periods. These figures I may set out as follows;� 1879. 1899. London (including Whitechapel) 23.3 19.7 per 1,000 The Whitechapel District 26.0 19.3 � 5 Again�that the outlay has been well justified is proved by the significant fact that whereas the general London Zymotic death-rate for 1899 equalled 3.l per 1,000; that for our own District was only 2.1 per 1,000. Here is to be found proof that a policy such as your Board in the past has adopted has resulted in a considerable saving of human life. With this brief preface I now commence the consideration of matters more nearly concerned in an annual Report on the Sanitary condition of the Whitechapel District. It would, however, ill become me to issue the Report without expressing my deepest obligation to your Board for the many kindnesses and acts of concession which I have experienced during the years I have acted as your Medical Officer.</x:v>
      </x:c>
    </x:row>
    <x:row r="187" ht="62" customHeight="1">
      <x:c r="A187" s="41" t="str">
        <x:v>1899_0008</x:v>
      </x:c>
      <x:c r="B187" s="41" t="n">
        <x:v>1899</x:v>
      </x:c>
      <x:c r="C187" s="41" t="n">
        <x:v>1900</x:v>
      </x:c>
      <x:c r="D187" s="41" t="str">
        <x:v>governance; housing</x:v>
      </x:c>
      <x:c r="E187" s="41" t="str">
        <x:v>governance: board | housing: houses</x:v>
      </x:c>
      <x:c r="F187" s="41" t="str">
        <x:v>No</x:v>
      </x:c>
      <x:c r="G187" s="41"/>
      <x:c r="H187" s="41" t="str">
        <x:v>No</x:v>
      </x:c>
      <x:c r="I187" s="41" t="str"/>
      <x:c r="J187" s="41" t="str">
        <x:v>https://wellcomelibrary.org/moh/report/b19883717</x:v>
      </x:c>
      <x:c r="K187" s="41" t="str">
        <x:v>data/moh_raw/Whitechapel_1899_b19883717_fulltext.txt</x:v>
      </x:c>
      <x:c r="L187" s="41" t="str">
        <x:v>From time to time it has been my duty to ask for more help: I have never asked in vain. Once you have appreciated the arguments I have brought forward, a ready acquiescence has followed. This, coupled, with the loyalty of my staff, and their devotion to duty, has made my work a pleasure from its very start. The assistance and advice of my Colleagues, the Clerks, and the Surveyor of your Board also demand a warm recognition at my hands. The Whitechapel District over which your Board has had control for Public Health and other purposes for 44 years, consists of some 22 miles of streets; it has an area of 406 statute acres (including 23 acres of water); it contains an estimated population of 85,000 persons of all ages; it possesses about 9,000 inhabited houses; and its rateable value for the present year is stated to be �447,516. Up to the present time about one half of the inhabited houses have been specially inspected, that is to say particulars of every part of each house are entered in a book which is properly indexed.</x:v>
      </x:c>
    </x:row>
    <x:row r="188" ht="62" customHeight="1">
      <x:c r="A188" s="41" t="str">
        <x:v>1899_0024</x:v>
      </x:c>
      <x:c r="B188" s="41" t="n">
        <x:v>1899</x:v>
      </x:c>
      <x:c r="C188" s="41" t="n">
        <x:v>1900</x:v>
      </x:c>
      <x:c r="D188" s="41" t="str">
        <x:v>governance; inequality</x:v>
      </x:c>
      <x:c r="E188" s="41" t="str">
        <x:v>governance: board | inequality: infirmary</x:v>
      </x:c>
      <x:c r="F188" s="41" t="str">
        <x:v>Yes</x:v>
      </x:c>
      <x:c r="G188" s="41"/>
      <x:c r="H188" s="41" t="str">
        <x:v>No</x:v>
      </x:c>
      <x:c r="I188" s="41" t="str"/>
      <x:c r="J188" s="41" t="str">
        <x:v>https://wellcomelibrary.org/moh/report/b19883717</x:v>
      </x:c>
      <x:c r="K188" s="41" t="str">
        <x:v>data/moh_raw/Whitechapel_1899_b19883717_fulltext.txt</x:v>
      </x:c>
      <x:c r="L188" s="41" t="str">
        <x:v>Larder that in addition to the number admitted by the Medical Officers, many more were received on the score of urgency, without the patients having gone through the customary routine. In all 6,047 persons were treated by the Medical Superintendent of the Infirmary during the year. Probably the following particulars of the new Sale of Food and Drags Act, 1899, will be found useful. Sale of Food and Drugs' Act, 1899.�The Board of Agriculture is responsible for this important addition to the Statute Book. It came into operation on the 1st January, 1900. The several circulars which have been issued by the Board of Agriculture draw the attention of Local Authorities to the more important of its provisions. Under Section 2 (1) of the new Act the Board of Agriculture may procure for analysis samples of any article of food, and thereupon the powers and provisions of the Acts, with respect to the procuring of samples will be applicable, subject to certain modifications. The Act provides (Section 26) that, for the purposes of the Sale of Food and Drugs Acts, the expression " food " shall include every article used for food or drink by man, other than drugs or water, and any article which ordinarily enters into or is used in the composition or preparation of human food; and shall also include flavouring matter and condiments.</x:v>
      </x:c>
    </x:row>
    <x:row r="189" ht="62" customHeight="1">
      <x:c r="A189" s="41" t="str">
        <x:v>1899_0032</x:v>
      </x:c>
      <x:c r="B189" s="41" t="n">
        <x:v>1899</x:v>
      </x:c>
      <x:c r="C189" s="41" t="n">
        <x:v>1900</x:v>
      </x:c>
      <x:c r="D189" s="41" t="str">
        <x:v>governance; housing</x:v>
      </x:c>
      <x:c r="E189" s="41" t="str">
        <x:v>governance: board | housing: dwellings</x:v>
      </x:c>
      <x:c r="F189" s="41" t="str">
        <x:v>No</x:v>
      </x:c>
      <x:c r="G189" s="41"/>
      <x:c r="H189" s="41" t="str">
        <x:v>No</x:v>
      </x:c>
      <x:c r="I189" s="41" t="str"/>
      <x:c r="J189" s="41" t="str">
        <x:v>https://wellcomelibrary.org/moh/report/b19883717</x:v>
      </x:c>
      <x:c r="K189" s="41" t="str">
        <x:v>data/moh_raw/Whitechapel_1899_b19883717_fulltext.txt</x:v>
      </x:c>
      <x:c r="L189" s="41" t="str">
        <x:v>16 The last circular that was issued by the Board of Agriculture, urges local authorities to consider whether their staff is sufficient, so that the duties under the new Act may be properly carried out. It further informs local authorities that the Board will acquaint them with the details of any instances of adulteration which may be reported by the Customs, so that proceedings may be promptly taken, if necessary, by the local authority of the district to which the adulterated goods are ultimately consigned, and in which it may be presumed that they will be offered for sale. The circular concludes by stating that the Lords Commissioners of Her Majesty's Treasury have sanctioned the appointment of additional inspectors, who will be happy, if so desired, to confer with local authorities, as to the manner in which the law may be most efficiently enforced. For several years past, a dearth of water has been experienced in the East of London; more especially has the lack of this absolute necessity been apparent in the top floors of our Block Dwellings.</x:v>
      </x:c>
    </x:row>
    <x:row r="190" ht="62" customHeight="1">
      <x:c r="A190" s="41" t="str">
        <x:v>1899_0033</x:v>
      </x:c>
      <x:c r="B190" s="41" t="n">
        <x:v>1899</x:v>
      </x:c>
      <x:c r="C190" s="41" t="n">
        <x:v>1900</x:v>
      </x:c>
      <x:c r="D190" s="41" t="str">
        <x:v>governance; housing; sanitary</x:v>
      </x:c>
      <x:c r="E190" s="41" t="str">
        <x:v>governance: board | housing: houses | sanitary: water supply</x:v>
      </x:c>
      <x:c r="F190" s="41" t="str">
        <x:v>No</x:v>
      </x:c>
      <x:c r="G190" s="41"/>
      <x:c r="H190" s="41" t="str">
        <x:v>No</x:v>
      </x:c>
      <x:c r="I190" s="41" t="str"/>
      <x:c r="J190" s="41" t="str">
        <x:v>https://wellcomelibrary.org/moh/report/b19883717</x:v>
      </x:c>
      <x:c r="K190" s="41" t="str">
        <x:v>data/moh_raw/Whitechapel_1899_b19883717_fulltext.txt</x:v>
      </x:c>
      <x:c r="L190" s="41" t="str">
        <x:v>It is gratifying to report, that last summer, a sufficient supply was given to us throughout, From the monthly returns of the Government Analysts, I am able to state, that the water was at all times good in quality. As I am drafting these lines, I have been made aware of the fact that the report of the Royal Commission on the question of the London Water Supply has been issued. . The Commissioners express the opinion that the water supply of the Metropolis should be under the control of a single authority, but do not consider that the London County Council is a suitable body, and, therefore, recommend that a Central Water Board should be constituted, with powers to acquire the undertakings of the companies. I have the honour to be, Gentlemen, Your obedient Servant, JOSEPH LOANE. Addendum.�After this Report was in the printer's hands I received particulars of a decision by the Lord Chief Justice and Justices Bigham and Darling in the case of Logsdon v. Booth. Up to now it had been held that Salvation Army Shelters were not Common Lodging Houses liable to be Registered under the Acts.</x:v>
      </x:c>
    </x:row>
    <x:row r="191" ht="62" customHeight="1">
      <x:c r="A191" s="41" t="str">
        <x:v>1899_0034</x:v>
      </x:c>
      <x:c r="B191" s="41" t="n">
        <x:v>1899</x:v>
      </x:c>
      <x:c r="C191" s="41" t="n">
        <x:v>1900</x:v>
      </x:c>
      <x:c r="D191" s="41" t="str">
        <x:v>governance; housing; inequality</x:v>
      </x:c>
      <x:c r="E191" s="41" t="str">
        <x:v>governance: medical officer | housing: common lodging house, dwellings | inequality: poorer</x:v>
      </x:c>
      <x:c r="F191" s="41" t="str">
        <x:v>Yes</x:v>
      </x:c>
      <x:c r="G191" s="41"/>
      <x:c r="H191" s="41" t="str">
        <x:v>No</x:v>
      </x:c>
      <x:c r="I191" s="41" t="str"/>
      <x:c r="J191" s="41" t="str">
        <x:v>https://wellcomelibrary.org/moh/report/b19883717</x:v>
      </x:c>
      <x:c r="K191" s="41" t="str">
        <x:v>data/moh_raw/Whitechapel_1899_b19883717_fulltext.txt</x:v>
      </x:c>
      <x:c r="L191" s="41" t="str">
        <x:v>This has now been reversed. In the course of an elaborate judgment in the Divisional Court on the 21st December last, the Lord Chief Justice said : "We know of no better description of a common lodging house than that given by the then Law Officers, Sir Alexander Cockburn and Sir W. Page Wood, to the effect that a common lodging-house was that class of lodging-house in which persons of the poorer class are received for short periods, and although strangers to one another, are allowed to inhabit one common room." If this be the proper description of a common lodginghouse, as we think it is, we cannot see in what material respect it differs from the Respondent's shelter. We arrive therefore, without hesitation, to the conclusion that such shelter is a common lodging house within the Act of 1853. It follows, that we think that Booth v. Ferrett was wrongly decided and that the Magistrate's decision now given was wrong in point of law. 17 Memorandum concerning the following Report and Tables: The Artizans and Labourers' Dwellings Improvement Act, 1875, resulted in your Medical Officer, Mr.</x:v>
      </x:c>
    </x:row>
    <x:row r="192" ht="62" customHeight="1">
      <x:c r="A192" s="41" t="str">
        <x:v>1899_0035</x:v>
      </x:c>
      <x:c r="B192" s="41" t="n">
        <x:v>1899</x:v>
      </x:c>
      <x:c r="C192" s="41" t="n">
        <x:v>1900</x:v>
      </x:c>
      <x:c r="D192" s="41" t="str">
        <x:v>governance; inequality</x:v>
      </x:c>
      <x:c r="E192" s="41" t="str">
        <x:v>governance: board, medical officer | inequality: working classes</x:v>
      </x:c>
      <x:c r="F192" s="41" t="str">
        <x:v>Yes</x:v>
      </x:c>
      <x:c r="G192" s="41"/>
      <x:c r="H192" s="41" t="str">
        <x:v>No</x:v>
      </x:c>
      <x:c r="I192" s="41" t="str"/>
      <x:c r="J192" s="41" t="str">
        <x:v>https://wellcomelibrary.org/moh/report/b19883717</x:v>
      </x:c>
      <x:c r="K192" s="41" t="str">
        <x:v>data/moh_raw/Whitechapel_1899_b19883717_fulltext.txt</x:v>
      </x:c>
      <x:c r="L192" s="41" t="str">
        <x:v>Liddle, representing certain property under the Act in 1877. In the same year Sir Richard A. Cross (the Home Secretary) issued a Provisional Order�and the schemes for the demolition of the condemned areas were proceeded with. In 1881, re-building upon one of the Sites took place, viz. :�Upon the Glasshouse Street area. I have, therefore, in the following lists included this area, and afterwards all other property of any significance which has to any extent affected the housing of the working classes. The Tables, therefore, which accompanied my Report, a copy of which was sent to the London County Council, have been considerably enlarged. Report by the Medical Officer of Health for the Whitechapel District Board, of Works�prepared by Instruction of the Board�and presented to the Board on the 18th December, 1899. Subject:�Information requested for the Parliamentary Committee of the London County Council as to "accommodation provided for re-housing persons of the Labouring Class who are displaced by the Works of Railway and other undertakings" in the Whitechapel District. The information asked for is requested to be arranged in Tabular form and to comprise the last ten years operations of the description mentioned.</x:v>
      </x:c>
    </x:row>
    <x:row r="193" ht="62" customHeight="1">
      <x:c r="A193" s="41" t="str">
        <x:v>1899_0037</x:v>
      </x:c>
      <x:c r="B193" s="41" t="n">
        <x:v>1899</x:v>
      </x:c>
      <x:c r="C193" s="41" t="n">
        <x:v>1900</x:v>
      </x:c>
      <x:c r="D193" s="41" t="str">
        <x:v>governance; housing; sanitary</x:v>
      </x:c>
      <x:c r="E193" s="41" t="str">
        <x:v>governance: board, notices | housing: houses, rooms | sanitary: sanitary</x:v>
      </x:c>
      <x:c r="F193" s="41" t="str">
        <x:v>No</x:v>
      </x:c>
      <x:c r="G193" s="41"/>
      <x:c r="H193" s="41" t="str">
        <x:v>No</x:v>
      </x:c>
      <x:c r="I193" s="41" t="str"/>
      <x:c r="J193" s="41" t="str">
        <x:v>https://wellcomelibrary.org/moh/report/b19883717</x:v>
      </x:c>
      <x:c r="K193" s="41" t="str">
        <x:v>data/moh_raw/Whitechapel_1899_b19883717_fulltext.txt</x:v>
      </x:c>
      <x:c r="L193" s="41" t="str">
        <x:v>This accommodation was provided for by the acquisition of vacant land entirely. On the other hand 84 persons have been disturbed by the London and North Western Railway Company without being provided for. It is only right to explain that the Company pulled the 10 houses down in compliance with Sanitary Notices served upon them by direction of the Board. 18 When I have alluded to Brady Street Mansions I think I have finished with Railway operations of any importance. Eighty apartments were in course of erection by a private owner when the property was acquired by the Great Eastern Railway Company, together with ground adjoining upon which three times the number of rooms will be placed. Probably persons from a neighbouring District will reside in these buildings�at any rate, no persons were dislodged to afford this new accommodation. At the present time in Mansell Street the London and NorthWestern Railway Company are erecting Warehouses upon a site which previously housed 300 persons. These people have had to seek shelter where they could.</x:v>
      </x:c>
    </x:row>
    <x:row r="194" ht="62" customHeight="1">
      <x:c r="A194" s="41" t="str">
        <x:v>1899_0038</x:v>
      </x:c>
      <x:c r="B194" s="41" t="n">
        <x:v>1899</x:v>
      </x:c>
      <x:c r="C194" s="41" t="n">
        <x:v>1900</x:v>
      </x:c>
      <x:c r="D194" s="41" t="str">
        <x:v>governance; housing; inequality</x:v>
      </x:c>
      <x:c r="E194" s="41" t="str">
        <x:v>governance: board | housing: dwellings, houses, model dwellings | inequality: working classes</x:v>
      </x:c>
      <x:c r="F194" s="41" t="str">
        <x:v>Yes</x:v>
      </x:c>
      <x:c r="G194" s="41"/>
      <x:c r="H194" s="41" t="str">
        <x:v>Yes</x:v>
      </x:c>
      <x:c r="I194" s="41" t="str">
        <x:v>Flower and Dean Street; Thrawl Street</x:v>
      </x:c>
      <x:c r="J194" s="41" t="str">
        <x:v>https://wellcomelibrary.org/moh/report/b19883717</x:v>
      </x:c>
      <x:c r="K194" s="41" t="str">
        <x:v>data/moh_raw/Whitechapel_1899_b19883717_fulltext.txt</x:v>
      </x:c>
      <x:c r="L194" s="41" t="str">
        <x:v>Various Blocks of Model Dwellings have been erected upon land which, although vacant for some years, had originally houses upon it in such a condition as to cause the Metropolitan Board of Works to invoke Cross' Act to clear it. I allude to Flower and Dean Street, Thrawl Street, &amp;c. Then, again, some houseB have been purchased for Commercial purposes, and Warehouses already take the place of Dwellings�such as the Wool Warehouses and Messrs. Kinloch's Warehouse in Back Church Lane. Again, over 300 persons have vacated in the past few months houses which were in Courts in Back Church Lane ; here, vacant ground remains which probably will soon have Warehouses erected upon it. About 800 persons who occupied the 120 houses in the Bell Lane area have become scattered�although probably in a few months provision will be made to re-house as many, or perhaps more. In this work of improvement the London County Council have assisted. On the whole it is clear that more accommodation now exists for the working classes in the Whitechapel District than was the case before these changes took place.</x:v>
      </x:c>
    </x:row>
    <x:row r="195" ht="62" customHeight="1">
      <x:c r="A195" s="41" t="str">
        <x:v>1899_0066</x:v>
      </x:c>
      <x:c r="B195" s="41" t="n">
        <x:v>1899</x:v>
      </x:c>
      <x:c r="C195" s="41" t="n">
        <x:v>1900</x:v>
      </x:c>
      <x:c r="D195" s="41" t="str">
        <x:v>housing; sanitary</x:v>
      </x:c>
      <x:c r="E195" s="41" t="str">
        <x:v>housing: overcrowded, rooms | sanitary: dirty, drain</x:v>
      </x:c>
      <x:c r="F195" s="41" t="str">
        <x:v>No</x:v>
      </x:c>
      <x:c r="G195" s="41"/>
      <x:c r="H195" s="41" t="str">
        <x:v>No</x:v>
      </x:c>
      <x:c r="I195" s="41" t="str"/>
      <x:c r="J195" s="41" t="str">
        <x:v>https://wellcomelibrary.org/moh/report/b19883717</x:v>
      </x:c>
      <x:c r="K195" s="41" t="str">
        <x:v>data/moh_raw/Whitechapel_1899_b19883717_fulltext.txt</x:v>
      </x:c>
      <x:c r="L195" s="41" t="str">
        <x:v>Yard paving defective. Water apparatus in W.C. defective. � 22nd Orders in each case to abate in 14 days,�2 4s. costs. 106, Vallance Road Yard paving defective. Floor of ground floor room on the bare earth. � 22nd 108, Vallance Road Walls and ceilings of house dirty. No door to W.C. Pan and floor of W.C. defective. Drain defective. Floor of ground floor room is on bare earth. � 22nd Middlesex Street Exposing for sale unsound fish. April 18th Fined .�10. In default of distress 2 months' imprisonment. No. 1 Block, Booth Street Buildings ,. Walls and ceilings dirty. Floors and stairs defective. W.C.'s foul and insufficiently flushed. Roof and eaves' gutters defective. Windows of several rooms could not be opened owing to defective sash lines. May 23rd Order to abate in 7 days, fl 7s. costs. No. 2 Block, Booth Street Buildings Ditto. Ditto. � 23rd Order to abate in 7 days. 6s. costs. 82, Lambeth Street Room No. 22 overcrowded. June 29th Order to abate in 14 days. 110, Bedford Street Fowl pens improperly constructed. Fowls allowed to run about yard which was not properly paved. � 29th Order to abate in 14 days. �1 5s. costs.</x:v>
      </x:c>
    </x:row>
    <x:row r="196" ht="62" customHeight="1">
      <x:c r="A196" s="41" t="str">
        <x:v>1899_0068</x:v>
      </x:c>
      <x:c r="B196" s="41" t="n">
        <x:v>1899</x:v>
      </x:c>
      <x:c r="C196" s="41" t="n">
        <x:v>1900</x:v>
      </x:c>
      <x:c r="D196" s="41" t="str">
        <x:v>sanitary</x:v>
      </x:c>
      <x:c r="E196" s="41" t="str">
        <x:v>sanitary: dirty, drain, water supply</x:v>
      </x:c>
      <x:c r="F196" s="41" t="str">
        <x:v>No</x:v>
      </x:c>
      <x:c r="G196" s="41"/>
      <x:c r="H196" s="41" t="str">
        <x:v>No</x:v>
      </x:c>
      <x:c r="I196" s="41" t="str"/>
      <x:c r="J196" s="41" t="str">
        <x:v>https://wellcomelibrary.org/moh/report/b19883717</x:v>
      </x:c>
      <x:c r="K196" s="41" t="str">
        <x:v>data/moh_raw/Whitechapel_1899_b19883717_fulltext.txt</x:v>
      </x:c>
      <x:c r="L196" s="41" t="str">
        <x:v>Summons withdrawn. 17; Fieldgate Street Roof defective. Seat of W.C. on top floor defective. The walls and ceiling of back room, 17 K, dirty. Oct, 20th Work done. Summons withdrawn. 2s. costs. 109, New Road Sink waste second floor improperly constructed. Accumulation of filthy matter in eaves' gutter of back addition roof. ,, 20th Work done. Summons withdrawn. �1 3s. costs. 10, Duncan Street No separate W.C. accommodation for women employed in workshop. 20th Work done. Summons withdrawn. �1 3s. costs. Tenter Buildings, St. Mark Street Walls and ceilings dirty. W.C.'s 1st floor right and 2nd floor left without water supply. ,, 20 th Order to abate in 14 days. �1 5s. costs. 10, Tenter Street, North One W.C. choked. Yard and W.C.'s in foul and filthy condition. � 20th Work done. Summons withdrawn. 16, Tenter Street, North For not complying with notice for above within time specified. Nov 7th Fined �1 and �1 3s. costs. 16, Great Alie Street One W.C. choked. Connections of two of the W.C. pans and traps to drain defective. Yard and W.C.'s in foul and filthy condition. Oct. 20th Work done. Summons withdrawn.</x:v>
      </x:c>
    </x:row>
  </x:sheetData>
  <x:pageMargins left="0.7" right="0.7" top="0.75" bottom="0.75" header="0.3" footer="0.3"/>
  <x:tableParts count="1">
    <x:tablePart xmlns:r="http://schemas.openxmlformats.org/officeDocument/2006/relationships" r:id="Rea78de3078814e81"/>
  </x:tableParts>
</x:worksheet>
</file>

<file path=xl/worksheets/sheet5.xml><?xml version="1.0" encoding="utf-8"?>
<x:worksheet xmlns:x="http://schemas.openxmlformats.org/spreadsheetml/2006/main">
  <x:sheetFormatPr defaultRowHeight="15"/>
  <x:cols>
    <x:col min="1" max="1" width="15" hidden="0" customWidth="1"/>
    <x:col min="2" max="2" width="12" hidden="0" customWidth="1"/>
    <x:col min="3" max="3" width="12" hidden="0" customWidth="1"/>
    <x:col min="4" max="4" width="30" hidden="0" customWidth="1"/>
    <x:col min="5" max="5" width="30" hidden="0" customWidth="1"/>
    <x:col min="6" max="6" width="30" hidden="0" customWidth="1"/>
    <x:col min="7" max="7" width="45" hidden="0" customWidth="1"/>
    <x:col min="8" max="8" width="85" hidden="0" customWidth="1"/>
  </x:cols>
  <x:sheetData>
    <x:row r="1">
      <x:c r="A1" s="14" t="str">
        <x:v>Passage ID</x:v>
      </x:c>
      <x:c r="B1" s="14" t="str">
        <x:v>Report Year</x:v>
      </x:c>
      <x:c r="C1" s="14" t="str">
        <x:v>Publication Year</x:v>
      </x:c>
      <x:c r="D1" s="14" t="str">
        <x:v>Reason for Exclusion</x:v>
      </x:c>
      <x:c r="E1" s="14" t="str">
        <x:v>Retrieval Categories</x:v>
      </x:c>
      <x:c r="F1" s="14" t="str">
        <x:v>Matched Terms</x:v>
      </x:c>
      <x:c r="G1" s="14" t="str">
        <x:v>Source URL</x:v>
      </x:c>
      <x:c r="H1" s="14" t="str">
        <x:v>Passage Text</x:v>
      </x:c>
    </x:row>
    <x:row r="2" ht="80" customHeight="1">
      <x:c r="A2" s="41" t="str">
        <x:v>1890_0018</x:v>
      </x:c>
      <x:c r="B2" s="41" t="n">
        <x:v>1890</x:v>
      </x:c>
      <x:c r="C2" s="41" t="n">
        <x:v>1891</x:v>
      </x:c>
      <x:c r="D2" s="41" t="str">
        <x:v>Statutory legislation and Board commitment</x:v>
      </x:c>
      <x:c r="E2" s="41" t="str">
        <x:v>housing</x:v>
      </x:c>
      <x:c r="F2" s="41" t="str">
        <x:v>housing: dwellings</x:v>
      </x:c>
      <x:c r="G2" s="41" t="str">
        <x:v>https://wellcomelibrary.org/moh/report/b19883651</x:v>
      </x:c>
      <x:c r="H2" s="41" t="str">
        <x:v>Part iv. is supplemental to the foregoing parts of the act. Parts v. and vi. apply respectively to Scotland and Ireland. Part vii. names the sections of, or the entire acts which are repealed, and also contains the schedules and temporary provisions. I do not propose to detail the many advantages and the objections which this act contain. Certain points are difficult to understand, and only in practice can the entire merits be declared patent. It has obviously been the desire of the framers of this act to enlarge the powers of the Local Authorities in dealing with insanitary dwellings and I am glad to be in a position to state that, so far as your Board is concerned, such object will be most loyally seconded. INFECTIOUS DISEASES (PREVENTION) ACT, 1890. (53 and 54 Vict, ch. 34.) This act became operative on the 4th December last. Your board, during the same month, decided to inforce all the provisions contained in it. The act has reference to the inspection of dairies under certain conditions. It also gives power to prohibit the supply of milk within a district, when such supply reasonably appears to have been the cause of the introduction of disease therein.</x:v>
      </x:c>
    </x:row>
    <x:row r="3" ht="80" customHeight="1">
      <x:c r="A3" s="41" t="str">
        <x:v>1892_0032</x:v>
      </x:c>
      <x:c r="B3" s="41" t="n">
        <x:v>1892</x:v>
      </x:c>
      <x:c r="C3" s="41" t="n">
        <x:v>1893</x:v>
      </x:c>
      <x:c r="D3" s="41" t="str">
        <x:v>Out-worker lists and delegated responsibility</x:v>
      </x:c>
      <x:c r="E3" s="41" t="str">
        <x:v>sanitary</x:v>
      </x:c>
      <x:c r="F3" s="41" t="str">
        <x:v>sanitary: sanitary</x:v>
      </x:c>
      <x:c r="G3" s="41" t="str">
        <x:v>https://wellcomelibrary.org/moh/report/b19883675</x:v>
      </x:c>
      <x:c r="H3" s="41" t="str">
        <x:v>The Report concerning the working of these Acts of Parliament is embodied in a letter to myself from your Inspector who has charge of this particular department. I comFood and mend it to your notice.* I have also introduced Drugs Acts, a joint memorandum from your Inspectors conconcerning their labours. As it details their own observations, I have deemed it worthy of a place in a Report which deals with the Sanitary condition of the District.� The Factory and Workshops' Act 1891, became operative towards the close of the year 1892. Briefly stated, it imposes upon the Local Authorities certain duties which New had previously devolved upon the Home Office Legislature. Officials. By a provision of the Aft, the Local Government Board was empowered to issue an Order. Such Order has been circulated. It requires lists to be kept of out-workers in the following business, viz. : The manufacture of Articles of Wearing Apparel. Cabinet and Furuiture making and Upholstery work. The manufacture of Electro-plate. The manufacture of Files. The occupier of every Workshop and Factory in which such businesses are carried on, and any contractor employed by such occupier, is required to prepare and keep these lists of out-workers up to date; and the lists are to be open to inspection by any Inspector of Factories, or by any Officer of a Sanitary Authority.</x:v>
      </x:c>
    </x:row>
    <x:row r="4" ht="80" customHeight="1">
      <x:c r="A4" s="41" t="str">
        <x:v>1893_0092</x:v>
      </x:c>
      <x:c r="B4" s="41" t="n">
        <x:v>1893</x:v>
      </x:c>
      <x:c r="C4" s="41" t="n">
        <x:v>1894</x:v>
      </x:c>
      <x:c r="D4" s="41" t="str">
        <x:v>Common lodging-house inspection bye-laws</x:v>
      </x:c>
      <x:c r="E4" s="41" t="str">
        <x:v>housing; inequality; sanitary</x:v>
      </x:c>
      <x:c r="F4" s="41" t="str">
        <x:v>housing: houses, rooms | inequality: lodgers | sanitary: drainage, refuse, sanitary</x:v>
      </x:c>
      <x:c r="G4" s="41" t="str">
        <x:v>https://wellcomelibrary.org/moh/report/b18018348</x:v>
      </x:c>
      <x:c r="H4" s="41" t="str">
        <x:v>8. Where the Medical Officer of Health, the Sanitary Inspector, or any other officer specially appointed or authorised by the Sanitary Authority in that behalf, has, for the purpose of inspection, obtained access to the interior of a lodging-house or to the interior of any room or rooms in such house, a person shall not wilfuly obstruct any such officer in the inspection of any part of the premises, or, without reasonable excuse, neglect or refuse, when required by any such officer, to render him such assistance as may be reasonably necessary for the purpose of such inspection. (d) For enforcing drainage for such houses, and for promoting cleanliness and ventilation in such houses. 9. The landlord of a lodging-house shall in all cases provide an adequate supply of water for the use of the lodgers. 10. In any case where a lodger in a lodging-house is entitled to the exclusive use of any court, court-yard, area, or other open space within the curtilage of the premises, such lodger, and in any case where two or more lodgers in a lodging-house are entitled to the use in common of any court, court-yard, area, or other open space within the curtilage of the premises, the landlord shall cause such court, court-yard, area, or other open space to be thoroughly cleansed from time to time as often as may be requisite for the purpose of keeping the same in a cleanly condition.</x:v>
      </x:c>
    </x:row>
    <x:row r="5" ht="80" customHeight="1">
      <x:c r="A5" s="41" t="str">
        <x:v>1894_0059</x:v>
      </x:c>
      <x:c r="B5" s="41" t="n">
        <x:v>1894</x:v>
      </x:c>
      <x:c r="C5" s="41" t="n">
        <x:v>1895</x:v>
      </x:c>
      <x:c r="D5" s="41" t="str">
        <x:v>Address-specific enforcement table</x:v>
      </x:c>
      <x:c r="E5" s="41" t="str">
        <x:v>inequality; sanitary</x:v>
      </x:c>
      <x:c r="F5" s="41" t="str">
        <x:v>inequality: working classes | sanitary: dirty, sanitary</x:v>
      </x:c>
      <x:c r="G5" s="41" t="str">
        <x:v>https://wellcomelibrary.org/moh/report/b1801835x</x:v>
      </x:c>
      <x:c r="H5" s="41" t="str">
        <x:v>W.C. in yard stopped and water apparatus to same defective Dec. 18th Work done. Summons withdrawn. 12, Duncan Street Walls and ceiling of workshop dirty and dilapidated. Workshop is without sufficient and suitable accommodation in the way of sanitary conveniences, and without separate accomodation for the females employed therein � 18th Work done. Summons withdrawn. Wentworth Street Exposing for sale a quantity of chestnuts and water melons unfit for human food � 19th Fined �l and 5s. costs. 1, New Buildings, Tenter Street For exposing a child suffering from scarlet fever in the workshop � 24th Dismissed upon a technical objection. Magistrate ruled that a workshop was not a shop within the meaning of the Act. 44 PROCEEDINGS TAKEN UNDER THE HOUSING OF THE WORKING CLASSES ACT, 1890. Situation of Property. Date of Representation of the Medical Officer. Nature of Representation. Date of hearing of Summons. Result. 1894 1894 104, Hanbury Street February 12th Premises in such a state as to be totally unfit for human habitation March 8th The whole of the Summonses were adjourned from time to time to enable Owners to carry out very extensive works.</x:v>
      </x:c>
    </x:row>
    <x:row r="6" ht="80" customHeight="1">
      <x:c r="A6" s="41" t="str">
        <x:v>1895_0009</x:v>
      </x:c>
      <x:c r="B6" s="41" t="n">
        <x:v>1895</x:v>
      </x:c>
      <x:c r="C6" s="41" t="n">
        <x:v>1896</x:v>
      </x:c>
      <x:c r="D6" s="41" t="str">
        <x:v>Salvation Army shelter cooperation</x:v>
      </x:c>
      <x:c r="E6" s="41" t="str">
        <x:v>inequality; sanitary</x:v>
      </x:c>
      <x:c r="F6" s="41" t="str">
        <x:v>inequality: lodging-houses | sanitary: sanitary</x:v>
      </x:c>
      <x:c r="G6" s="41" t="str">
        <x:v>https://wellcomelibrary.org/moh/report/b19883687</x:v>
      </x:c>
      <x:c r="H6" s="41" t="str">
        <x:v>The Sanitary Committee met as arranged, and Messrs. Stephens and Lamb from the Salvation Army were present on the invitation of the Committee. These gentlemen agreed to assist the Officers of the Board in every way with a view to counteract the risk of spreading Small-pox through the medium of the occupants of their shelters. With this intent it was arranged that after that night no persons should be admitted into their shelters who were not in the possession of tickets: this would eliminate a danger from the presence of strangers who might come from other spheres of contagion. It was also agreed that certain proceedings as regards daily and special disinfection should be conducted under the inspection of the officers of the Board. They also undertook that no person apparently suffering from Small-pox should be allowed to go into the public thoroughfares, but that such person should be isolated, and when seen by a Medical man should be treated as directed by such Medical practitioner. On the following day I reported the outbreak of the epidemic to the Secretary of the Local Government Board, to whom a few davs later your Clerk reported th� result of your deliberation, and he also sent a copy of a resolution which you passed with reference to the influence Salvation Army Shelters exercised upon the District, and the desire of your Board was conveyed to the Local Government Board that some legislation might be provided to place these shelters upon the same footing as the Registered Common Lodging-houses.</x:v>
      </x:c>
    </x:row>
    <x:row r="7" ht="80" customHeight="1">
      <x:c r="A7" s="41" t="str">
        <x:v>1897_0055</x:v>
      </x:c>
      <x:c r="B7" s="41" t="n">
        <x:v>1897</x:v>
      </x:c>
      <x:c r="C7" s="41" t="n">
        <x:v>1898</x:v>
      </x:c>
      <x:c r="D7" s="41" t="str">
        <x:v>Infectious-disease notification procedure</x:v>
      </x:c>
      <x:c r="E7" s="41" t="str">
        <x:v>sanitary</x:v>
      </x:c>
      <x:c r="F7" s="41" t="str">
        <x:v>sanitary: sanitary</x:v>
      </x:c>
      <x:c r="G7" s="41" t="str">
        <x:v>https://wellcomelibrary.org/moh/report/b19883699</x:v>
      </x:c>
      <x:c r="H7" s="41" t="str">
        <x:v>Telephone as soon as possible to Metropolitan Asylums' Board for the removal of the patient, and when removed make arrangements for disinfection (as stated in Paragraph 4). 7.�Every evening send to Clerk of Metropolitan Asylums' Board, on the special form provided for the purpose, a complete list of cases requiring removal to hospital, whether previously telephoned or not. 8:�Instruct the disinfecting men as to the time when disinfection is to be carried out in each case, and see that the work is efficiently performed. 9.�Having verified the case, enter particulars upon the Register Sheet hanging on the wall in the Office for that purpose, and call the attention of the Medical Officer to any case of Erysipelas following Vaccination. 10.�Notify the District Sanitary Inspector of the case and of any Sanitary defects discovered. 11;�Where milk is sold upon any premises notify by Special Letter Form the Medical Officer of Health of the London County Council of the fact. 12.�Within 12 hours of the receipt of the Notification send particulars of same to the Clerk of the Metropolitan Asylums' Board, upon the Printed Form provided for such purpose, and then hand over the Notification to the Clerk in the Department.</x:v>
      </x:c>
    </x:row>
  </x:sheetData>
  <x:pageMargins left="0.7" right="0.7" top="0.75" bottom="0.75" header="0.3" footer="0.3"/>
  <x:tableParts count="1">
    <x:tablePart xmlns:r="http://schemas.openxmlformats.org/officeDocument/2006/relationships" r:id="R255c86d7511a45ed"/>
  </x:tableParts>
</x:worksheet>
</file>

<file path=xl/worksheets/sheet6.xml><?xml version="1.0" encoding="utf-8"?>
<x:worksheet xmlns:x="http://schemas.openxmlformats.org/spreadsheetml/2006/main">
  <x:sheetFormatPr defaultRowHeight="15"/>
  <x:cols>
    <x:col min="1" max="1" width="13" hidden="0" customWidth="1"/>
    <x:col min="2" max="2" width="15" hidden="0" customWidth="1"/>
    <x:col min="3" max="3" width="12" hidden="0" customWidth="1"/>
    <x:col min="4" max="4" width="12" hidden="0" customWidth="1"/>
    <x:col min="5" max="5" width="36" hidden="0" customWidth="1"/>
    <x:col min="6" max="6" width="15" hidden="0" customWidth="1"/>
    <x:col min="7" max="7" width="15" hidden="0" customWidth="1"/>
    <x:col min="8" max="8" width="34" hidden="0" customWidth="1"/>
    <x:col min="9" max="9" width="28" hidden="0" customWidth="1"/>
    <x:col min="10" max="10" width="28" hidden="0" customWidth="1"/>
    <x:col min="11" max="11" width="18" hidden="0" customWidth="1"/>
    <x:col min="12" max="12" width="46" hidden="0" customWidth="1"/>
    <x:col min="13" max="13" width="46" hidden="0" customWidth="1"/>
    <x:col min="14" max="14" width="24" hidden="0" customWidth="1"/>
    <x:col min="15" max="15" width="44" hidden="0" customWidth="1"/>
    <x:col min="16" max="16" width="85" hidden="0" customWidth="1"/>
  </x:cols>
  <x:sheetData>
    <x:row r="1">
      <x:c r="A1" s="58" t="str">
        <x:v>Status</x:v>
      </x:c>
      <x:c r="B1" s="58" t="str">
        <x:v>Passage ID</x:v>
      </x:c>
      <x:c r="C1" s="58" t="str">
        <x:v>Report Year</x:v>
      </x:c>
      <x:c r="D1" s="58" t="str">
        <x:v>Publication Year</x:v>
      </x:c>
      <x:c r="E1" s="58" t="str">
        <x:v>Proposed Section</x:v>
      </x:c>
      <x:c r="F1" s="58" t="str">
        <x:v>Printed Page(s)</x:v>
      </x:c>
      <x:c r="G1" s="58" t="str">
        <x:v>Key Quote Page</x:v>
      </x:c>
      <x:c r="H1" s="58" t="str">
        <x:v>Inequality / Social Signal</x:v>
      </x:c>
      <x:c r="I1" s="58" t="str">
        <x:v>Retrieval Categories</x:v>
      </x:c>
      <x:c r="J1" s="58" t="str">
        <x:v>Matched Terms</x:v>
      </x:c>
      <x:c r="K1" s="58" t="str">
        <x:v>Counterevidence / Complication</x:v>
      </x:c>
      <x:c r="L1" s="58" t="str">
        <x:v>Analytical Function</x:v>
      </x:c>
      <x:c r="M1" s="58" t="str">
        <x:v>Recommended Use</x:v>
      </x:c>
      <x:c r="N1" s="58" t="str">
        <x:v>Place Reference</x:v>
      </x:c>
      <x:c r="O1" s="58" t="str">
        <x:v>Source URL</x:v>
      </x:c>
      <x:c r="P1" s="58" t="str">
        <x:v>Passage Text</x:v>
      </x:c>
    </x:row>
    <x:row r="2" ht="82" customHeight="1">
      <x:c r="A2" s="41" t="str">
        <x:v>Core</x:v>
      </x:c>
      <x:c r="B2" s="41" t="str">
        <x:v>1890_0024</x:v>
      </x:c>
      <x:c r="C2" s="41" t="n">
        <x:v>1890</x:v>
      </x:c>
      <x:c r="D2" s="41" t="n">
        <x:v>1891</x:v>
      </x:c>
      <x:c r="E2" s="41" t="str">
        <x:v>5.2 Housing, overcrowding and insanitary premises</x:v>
      </x:c>
      <x:c r="F2" s="41" t="str">
        <x:v>18</x:v>
      </x:c>
      <x:c r="G2" s="41" t="str">
        <x:v>18</x:v>
      </x:c>
      <x:c r="H2" s="41" t="str">
        <x:v>Mixed: explicit poor + material defects</x:v>
      </x:c>
      <x:c r="I2" s="41" t="str">
        <x:v>housing; inequality; sanitary</x:v>
      </x:c>
      <x:c r="J2" s="41" t="str">
        <x:v>housing: dwellings, houses, rooms | inequality: poor, working classes | sanitary: drainage, filth, nuisances, sanitary</x:v>
      </x:c>
      <x:c r="K2" s="41" t="str">
        <x:v>No</x:v>
      </x:c>
      <x:c r="L2" s="41" t="str">
        <x:v>Shows explicit reference to the dwellings of the poor embedded in a list of material defects.</x:v>
      </x:c>
      <x:c r="M2" s="41" t="str">
        <x:v>Detailed close reading and/or a short direct quotation after page-image verification.</x:v>
      </x:c>
      <x:c r="N2" s="41" t="str"/>
      <x:c r="O2" s="41" t="str">
        <x:v>https://wellcomelibrary.org/moh/report/b19883651</x:v>
      </x:c>
      <x:c r="P2" s="41" t="str">
        <x:v>Such "faulty construction of chimney-flues as permits products of com"bustion from adjoining premises to permanently contaminate "the air of living-rooms. (c) Age and General Want of Repair. "This, when it reaches a degree of dilapidation, is obviously "a just cause for representation. (d) Nuisances. "Bad drainage, faulty closets, filth per se, &amp;c., are, in our "opinion, grounds for action taken under the ' Nuisances Re"moval and Sanitary Acts,' but where affecting a whole dwelling"house, or where combined with faults of site and construction, "and general want of repair, they justify action also under the "'Housing of the Working Classes Act.' "In all the above cases the question of 'degree' comes in; "it is, indeed, this question of degree that renders precise defini"tion impossible ; general principles can alone be laid down." 18 This is obviously true, but in any case it is satisfactory to know that magistrates are determined to assist Local Authorities to improve the dwellings of the poor. The above list of mal-conditions, applicable to dwelling-houses, is no new invention of Sanitary Experts, and daily experience constantly advises that greater efforts should be forthcoming to put into practice the knowledge which this experience brings.</x:v>
      </x:c>
    </x:row>
    <x:row r="3" ht="82" customHeight="1">
      <x:c r="A3" s="41" t="str">
        <x:v>Core</x:v>
      </x:c>
      <x:c r="B3" s="41" t="str">
        <x:v>1894_0020</x:v>
      </x:c>
      <x:c r="C3" s="41" t="n">
        <x:v>1894</x:v>
      </x:c>
      <x:c r="D3" s="41" t="n">
        <x:v>1895</x:v>
      </x:c>
      <x:c r="E3" s="41" t="str">
        <x:v>5.2 Housing, overcrowding and insanitary premises</x:v>
      </x:c>
      <x:c r="F3" s="41" t="str">
        <x:v>15</x:v>
      </x:c>
      <x:c r="G3" s="41" t="str">
        <x:v>15</x:v>
      </x:c>
      <x:c r="H3" s="41" t="str">
        <x:v>Working-class legal category + material housing</x:v>
      </x:c>
      <x:c r="I3" s="41" t="str">
        <x:v>housing; inequality; sanitary</x:v>
      </x:c>
      <x:c r="J3" s="41" t="str">
        <x:v>housing: dwellings, houses | inequality: working classes | sanitary: sanitary</x:v>
      </x:c>
      <x:c r="K3" s="41" t="str">
        <x:v>No</x:v>
      </x:c>
      <x:c r="L3" s="41" t="str">
        <x:v>Connects working-class housing legislation with the practical limits of intervention in worn-out property.</x:v>
      </x:c>
      <x:c r="M3" s="41" t="str">
        <x:v>Detailed close reading and/or a short direct quotation after page-image verification.</x:v>
      </x:c>
      <x:c r="N3" s="41" t="str">
        <x:v>Hanbury Street</x:v>
      </x:c>
      <x:c r="O3" s="41" t="str">
        <x:v>https://wellcomelibrary.org/moh/report/b1801835x</x:v>
      </x:c>
      <x:c r="P3" s="41" t="str">
        <x:v>Dr. Longstaff, Chairman of the Building Act Committee of the London County Council, who was active in the promotion of the Bill, was recently discussing its merits at the Parkes Museum. The Doctor stated "that Parliament threw upon the County Council "the imperative duty, under certain circumstances, of (at practically "whatever cost) buying out unhealthy buildings of persons of the "working-class, and seeing that more suitable dwellings were placed "thereon." Perfectly true! may I commend this opinion to the consideration of the Council when they next consider the question of " The Bell Lane and Great Pearl Street areas?" Housing of the Working Classes Act, 1890. I have been very unsuccessful in the application of this Act to worn out property. To begin with, I do not think Magistrates like it; and although very strong evidence has been produced in support of some prosecutions which I have been interested in, more difficulties have occurred with it than I have experienced with any other Sanitary Act. As an illustration, I will mention the houses in Hanbury Street and Samuel Court.</x:v>
      </x:c>
    </x:row>
    <x:row r="4" ht="82" customHeight="1">
      <x:c r="A4" s="41" t="str">
        <x:v>Core</x:v>
      </x:c>
      <x:c r="B4" s="41" t="str">
        <x:v>1897_0024</x:v>
      </x:c>
      <x:c r="C4" s="41" t="n">
        <x:v>1897</x:v>
      </x:c>
      <x:c r="D4" s="41" t="n">
        <x:v>1898</x:v>
      </x:c>
      <x:c r="E4" s="41" t="str">
        <x:v>5.2 Housing, overcrowding and insanitary premises</x:v>
      </x:c>
      <x:c r="F4" s="41" t="str">
        <x:v>11</x:v>
      </x:c>
      <x:c r="G4" s="41" t="str">
        <x:v>11</x:v>
      </x:c>
      <x:c r="H4" s="41" t="str">
        <x:v>Indirect/institutional housing delay</x:v>
      </x:c>
      <x:c r="I4" s="41" t="str">
        <x:v>governance; inequality; sanitary</x:v>
      </x:c>
      <x:c r="J4" s="41" t="str">
        <x:v>governance: board | inequality: working classes | sanitary: water supply</x:v>
      </x:c>
      <x:c r="K4" s="41" t="str">
        <x:v>No</x:v>
      </x:c>
      <x:c r="L4" s="41" t="str">
        <x:v>Shows how delay in an improvement scheme left an identified housing area in worsening condition.</x:v>
      </x:c>
      <x:c r="M4" s="41" t="str">
        <x:v>Detailed close reading and/or a short direct quotation after page-image verification.</x:v>
      </x:c>
      <x:c r="N4" s="41" t="str"/>
      <x:c r="O4" s="41" t="str">
        <x:v>https://wellcomelibrary.org/moh/report/b19883699</x:v>
      </x:c>
      <x:c r="P4" s="41" t="str">
        <x:v>In the event, however, of an arrangement not being come to on "this point, we propose that the Council should ce-operate with Sir A. Osborn by "putting in force the provisions of the Housing of the Working Classes Act, 1890, "with a view to acquiring compulsorily suoh of the leasehold interests as he may "be unable to obtain possession of within a reasonable time, the Council being "reimbursed the cost of such acquisition." Then follows some details as to the prices agreed upon, and the proposed recommendation to the Council. I quite expected to have seen some evidence before now that the " Bell Lane area " scheme was at last likely to be an accomplished fact�but whatever the cause of the delay may be at present, the area remains in a worse state than ever. I am afraid it will be necessary for me to ask the Board to intervene with regard to some parts of the area. I do not propose to say much about the water supply in the District as a Royal Commission is now enquiring into the whole matter of the Metropolitan Water Supply.</x:v>
      </x:c>
    </x:row>
    <x:row r="5" ht="82" customHeight="1">
      <x:c r="A5" s="41" t="str">
        <x:v>Core</x:v>
      </x:c>
      <x:c r="B5" s="41" t="str">
        <x:v>1899_0038</x:v>
      </x:c>
      <x:c r="C5" s="41" t="n">
        <x:v>1899</x:v>
      </x:c>
      <x:c r="D5" s="41" t="n">
        <x:v>1900</x:v>
      </x:c>
      <x:c r="E5" s="41" t="str">
        <x:v>5.2 Housing, overcrowding and insanitary premises</x:v>
      </x:c>
      <x:c r="F5" s="41" t="str">
        <x:v>18</x:v>
      </x:c>
      <x:c r="G5" s="41" t="str">
        <x:v>18</x:v>
      </x:c>
      <x:c r="H5" s="41" t="str">
        <x:v>Housing improvement, displacement and conversion</x:v>
      </x:c>
      <x:c r="I5" s="41" t="str">
        <x:v>governance; housing; inequality</x:v>
      </x:c>
      <x:c r="J5" s="41" t="str">
        <x:v>governance: board | housing: dwellings, houses, model dwellings | inequality: working classes</x:v>
      </x:c>
      <x:c r="K5" s="41" t="str">
        <x:v>Yes</x:v>
      </x:c>
      <x:c r="L5" s="41" t="str">
        <x:v>Tests improvement claims against displacement, dispersal and conversion of former residential sites.</x:v>
      </x:c>
      <x:c r="M5" s="41" t="str">
        <x:v>Detailed close reading and/or a short direct quotation after page-image verification.</x:v>
      </x:c>
      <x:c r="N5" s="41" t="str">
        <x:v>Flower and Dean Street; Thrawl Street</x:v>
      </x:c>
      <x:c r="O5" s="41" t="str">
        <x:v>https://wellcomelibrary.org/moh/report/b19883717</x:v>
      </x:c>
      <x:c r="P5" s="41" t="str">
        <x:v>Various Blocks of Model Dwellings have been erected upon land which, although vacant for some years, had originally houses upon it in such a condition as to cause the Metropolitan Board of Works to invoke Cross' Act to clear it. I allude to Flower and Dean Street, Thrawl Street, &amp;c. Then, again, some houseB have been purchased for Commercial purposes, and Warehouses already take the place of Dwellings�such as the Wool Warehouses and Messrs. Kinloch's Warehouse in Back Church Lane. Again, over 300 persons have vacated in the past few months houses which were in Courts in Back Church Lane ; here, vacant ground remains which probably will soon have Warehouses erected upon it. About 800 persons who occupied the 120 houses in the Bell Lane area have become scattered�although probably in a few months provision will be made to re-house as many, or perhaps more. In this work of improvement the London County Council have assisted. On the whole it is clear that more accommodation now exists for the working classes in the Whitechapel District than was the case before these changes took place.</x:v>
      </x:c>
    </x:row>
    <x:row r="6" ht="82" customHeight="1">
      <x:c r="A6" s="41" t="str">
        <x:v>Supporting</x:v>
      </x:c>
      <x:c r="B6" s="41" t="str">
        <x:v>1890_0022</x:v>
      </x:c>
      <x:c r="C6" s="41" t="n">
        <x:v>1890</x:v>
      </x:c>
      <x:c r="D6" s="41" t="n">
        <x:v>1891</x:v>
      </x:c>
      <x:c r="E6" s="41" t="str">
        <x:v>5.2 Housing, overcrowding and insanitary premises</x:v>
      </x:c>
      <x:c r="F6" s="41" t="str">
        <x:v>16</x:v>
      </x:c>
      <x:c r="G6" s="41" t="str">
        <x:v>16</x:v>
      </x:c>
      <x:c r="H6" s="41" t="str">
        <x:v>Administrative/legal category</x:v>
      </x:c>
      <x:c r="I6" s="41" t="str">
        <x:v>governance; housing; inequality; sanitary</x:v>
      </x:c>
      <x:c r="J6" s="41" t="str">
        <x:v>governance: inspection | housing: houses | inequality: working classes | sanitary: nuisances, sanitary</x:v>
      </x:c>
      <x:c r="K6" s="41" t="str">
        <x:v>No</x:v>
      </x:c>
      <x:c r="L6" s="41" t="str">
        <x:v>Supports the legal and administrative definition of housing unfitness; useful background rather than a main quotation.</x:v>
      </x:c>
      <x:c r="M6" s="41" t="str">
        <x:v>Paraphrase or brief corroborating reference where it confirms a pattern or supplies a counterexample.</x:v>
      </x:c>
      <x:c r="N6" s="41" t="str"/>
      <x:c r="O6" s="41" t="str">
        <x:v>https://wellcomelibrary.org/moh/report/b19883651</x:v>
      </x:c>
      <x:c r="P6" s="41" t="str">
        <x:v>I may add that, in some instances, I have had to call upon the owners of some houses to remedy grave sanitary defects, which, but for the special inspection, might have escaped observation for some time. It may be useful to quote the result of the deliberations of Metropolitan Officers of Health, concerning a reference to them by the Conference of Metropolitan Members of Vestries and District Boards, which took place on the 5th December last, in the County Hall, Spring Gardens. The reference demanded some common understanding concerning the meaning of the words contained in Part ii. of the "Housing of the Working Classes Act, 1890," which runs as follows :�"A condition so dangerous "or injurious to health, as to be unfit for human habitation." REPORT. "Whether a house is dangerous to health mainly depends "upon� (a) Site and surroundings. (b) Construction. (c) Age and general want of repair. (d) Nuisances.</x:v>
      </x:c>
    </x:row>
    <x:row r="7" ht="82" customHeight="1">
      <x:c r="A7" s="41" t="str">
        <x:v>Supporting</x:v>
      </x:c>
      <x:c r="B7" s="41" t="str">
        <x:v>1896_0029</x:v>
      </x:c>
      <x:c r="C7" s="41" t="n">
        <x:v>1896</x:v>
      </x:c>
      <x:c r="D7" s="41" t="n">
        <x:v>1897</x:v>
      </x:c>
      <x:c r="E7" s="41" t="str">
        <x:v>5.2 Housing, overcrowding and insanitary premises</x:v>
      </x:c>
      <x:c r="F7" s="41" t="str">
        <x:v>12–13</x:v>
      </x:c>
      <x:c r="G7" s="41" t="str">
        <x:v>12</x:v>
      </x:c>
      <x:c r="H7" s="41" t="str">
        <x:v>Indirect/institutional</x:v>
      </x:c>
      <x:c r="I7" s="41" t="str">
        <x:v>housing; inequality; sanitary</x:v>
      </x:c>
      <x:c r="J7" s="41" t="str">
        <x:v>housing: houses | inequality: infirmary, lodging-houses | sanitary: drainage, sanitary</x:v>
      </x:c>
      <x:c r="K7" s="41" t="str">
        <x:v>No</x:v>
      </x:c>
      <x:c r="L7" s="41" t="str">
        <x:v>Useful contextual support for single-room occupation, lodging houses, institutions and drainage.</x:v>
      </x:c>
      <x:c r="M7" s="41" t="str">
        <x:v>Paraphrase or brief corroborating reference where it confirms a pattern or supplies a counterexample.</x:v>
      </x:c>
      <x:c r="N7" s="41" t="str"/>
      <x:c r="O7" s="41" t="str">
        <x:v>https://wellcomelibrary.org/moh/report/b18038244</x:v>
      </x:c>
      <x:c r="P7" s="41" t="str">
        <x:v>A large number of the cases belonged to persons occupying only a single room. The Mortuary therefore has been a practical help in the sanitary work of the District. This remark applies both to the Jewish and general inhabitants, for all classes can and do avail themselves of the advantages of the building. At a recent meeting of the Sanitary Committee a Member called attention to the good work being performed by the Mortuary Keepers. I desire to endorse the commendation most heartily. 13 In again drawing attention to the Registered Common Lodging-Houses within the District I have little to add to the statement contained in my last Report. The London County Council's Officers are carefully going over the Houses, and improving the drainage connected with them. Your Officers assist so far as to overlook the work during its progress. For reference and comparison purpose I here introduce the customary information appertaining to this class of property:- 1896. Registered Common LodgingHouses. No. of Admissions to Infirmary. Registered Common LodingHouses. No. of Admissions to Infirmary.</x:v>
      </x:c>
    </x:row>
    <x:row r="8" ht="82" customHeight="1">
      <x:c r="A8" s="41" t="str">
        <x:v>Supporting</x:v>
      </x:c>
      <x:c r="B8" s="41" t="str">
        <x:v>1899_0002</x:v>
      </x:c>
      <x:c r="C8" s="41" t="n">
        <x:v>1899</x:v>
      </x:c>
      <x:c r="D8" s="41" t="n">
        <x:v>1900</x:v>
      </x:c>
      <x:c r="E8" s="41" t="str">
        <x:v>5.2 Housing, overcrowding and insanitary premises</x:v>
      </x:c>
      <x:c r="F8" s="41" t="str">
        <x:v>3</x:v>
      </x:c>
      <x:c r="G8" s="41" t="str">
        <x:v>3</x:v>
      </x:c>
      <x:c r="H8" s="41" t="str">
        <x:v>Working-class housing improvement narrative</x:v>
      </x:c>
      <x:c r="I8" s="41" t="str">
        <x:v>governance; housing; inequality</x:v>
      </x:c>
      <x:c r="J8" s="41" t="str">
        <x:v>governance: board, medical officer | housing: dwellings, houses | inequality: working classes</x:v>
      </x:c>
      <x:c r="K8" s="41" t="str">
        <x:v>No</x:v>
      </x:c>
      <x:c r="L8" s="41" t="str">
        <x:v>Provides a retrospective official narrative of working-class housing improvement for comparison with stronger critical evidence.</x:v>
      </x:c>
      <x:c r="M8" s="41" t="str">
        <x:v>Paraphrase or brief corroborating reference where it confirms a pattern or supplies a counterexample.</x:v>
      </x:c>
      <x:c r="N8" s="41" t="str"/>
      <x:c r="O8" s="41" t="str">
        <x:v>https://wellcomelibrary.org/moh/report/b19883717</x:v>
      </x:c>
      <x:c r="P8" s="41" t="str">
        <x:v>Many houses existed in the year 1883 which have been replaced by dwellings better suited for occupation by the Working Classes. Under the provisions of the Artizans and Labourers' Dwellings Acts a good deal of vacant land existed upon which now stand dwellings which afford a splendid contrast to those which formerly existed. Not only have many parts of the District became thus changed, but the population as well have become altered in character and in nationality. As it is possible that this may be my last Annual Health Report (it certainly will be my last as the Medical Officer of your Board) I thought that it would be interesting to most members, and perhaps it might afford information to some, if I were to devote a few lines, and also a comprehensive Table, to explain some of those changes which have taken place. The Census Returns of 1891 gave evidence of the enormous increase in the Foreign population which had taken place during the preceding ten years. In my opinion that increase has been maintained.</x:v>
      </x:c>
    </x:row>
    <x:row r="9" ht="82" customHeight="1">
      <x:c r="A9" s="41" t="str">
        <x:v>Core</x:v>
      </x:c>
      <x:c r="B9" s="41" t="str">
        <x:v>1892_0020</x:v>
      </x:c>
      <x:c r="C9" s="41" t="n">
        <x:v>1892</x:v>
      </x:c>
      <x:c r="D9" s="41" t="n">
        <x:v>1893</x:v>
      </x:c>
      <x:c r="E9" s="41" t="str">
        <x:v>5.3 Drainage, water supply and material sanitation</x:v>
      </x:c>
      <x:c r="F9" s="41" t="str">
        <x:v>12–13</x:v>
      </x:c>
      <x:c r="G9" s="41" t="str">
        <x:v>12</x:v>
      </x:c>
      <x:c r="H9" s="41" t="str">
        <x:v>Indirect/material</x:v>
      </x:c>
      <x:c r="I9" s="41" t="str">
        <x:v>governance; housing; sanitary</x:v>
      </x:c>
      <x:c r="J9" s="41" t="str">
        <x:v>governance: board | housing: overcrowding, rooms | sanitary: drains, nuisances</x:v>
      </x:c>
      <x:c r="K9" s="41" t="str">
        <x:v>No</x:v>
      </x:c>
      <x:c r="L9" s="41" t="str">
        <x:v>Shows how public instructions converted cholera prevention into cleanliness, ventilation, drainage and overcrowding practices.</x:v>
      </x:c>
      <x:c r="M9" s="41" t="str">
        <x:v>Detailed close reading and/or a short direct quotation after page-image verification.</x:v>
      </x:c>
      <x:c r="N9" s="41" t="str"/>
      <x:c r="O9" s="41" t="str">
        <x:v>https://wellcomelibrary.org/moh/report/b19883675</x:v>
      </x:c>
      <x:c r="P9" s="41" t="str">
        <x:v>Small bills were judiciously distributed amongst those inhabitants, to whom it was thought proper to bring the information which was printed. I append a copy of this bill:� "WHITECHAPEL DISTRICT BOARD OF WORKS. INSTRUCTIONS TO INHABITANTS.� "Perfect cleanliness in person and Dwelling, and avoidance of all nuisances "in and around the house is of utmost importance. Freely use water and carbolic "acid to cleanse drains and sinks, No food which looks bad or which has an "unpleasant smell, should be eaten. Draw all drinking water from the main tap, "'and boil all drinking water and milk. Avoid overcrowding, and ventilate all "rooms. Every case of sickness must be notified to the Board Offices, No. 15, "Great Alie Street, E. Do not neglect the mildest attack of Diarrh�a, or other "illness. Report to the Officers of the Board when any unpleasant smells or "nuisances of any kind are noticed." 13 All the above preparations were made by your Officers during the recess of the Board, but a special Committee of Works meeting was summoned for the 1st September, at which your Clerk explained what had taken place, and the measures which were in contemplation by your Officers, should the occasion require them.</x:v>
      </x:c>
    </x:row>
    <x:row r="10" ht="82" customHeight="1">
      <x:c r="A10" s="41" t="str">
        <x:v>Core</x:v>
      </x:c>
      <x:c r="B10" s="41" t="str">
        <x:v>1894_0014</x:v>
      </x:c>
      <x:c r="C10" s="41" t="n">
        <x:v>1894</x:v>
      </x:c>
      <x:c r="D10" s="41" t="n">
        <x:v>1895</x:v>
      </x:c>
      <x:c r="E10" s="41" t="str">
        <x:v>5.3 Drainage, water supply and material sanitation</x:v>
      </x:c>
      <x:c r="F10" s="41" t="str">
        <x:v>9–10</x:v>
      </x:c>
      <x:c r="G10" s="41" t="str">
        <x:v>9</x:v>
      </x:c>
      <x:c r="H10" s="41" t="str">
        <x:v>Indirect/material</x:v>
      </x:c>
      <x:c r="I10" s="41" t="str">
        <x:v>housing; inequality; sanitary</x:v>
      </x:c>
      <x:c r="J10" s="41" t="str">
        <x:v>housing: houses | inequality: infirmary, lodging-houses | sanitary: water supply</x:v>
      </x:c>
      <x:c r="K10" s="41" t="str">
        <x:v>No</x:v>
      </x:c>
      <x:c r="L10" s="41" t="str">
        <x:v>Provides a clear material-sanitation case centred on intermittent water supply and household storage capacity.</x:v>
      </x:c>
      <x:c r="M10" s="41" t="str">
        <x:v>Detailed close reading and/or a short direct quotation after page-image verification.</x:v>
      </x:c>
      <x:c r="N10" s="41" t="str"/>
      <x:c r="O10" s="41" t="str">
        <x:v>https://wellcomelibrary.org/moh/report/b1801835x</x:v>
      </x:c>
      <x:c r="P10" s="41" t="str">
        <x:v>Curiously enough the result of the drought of 1893 was to permit the Company to give constant supply to its customers during nearly all the summer of 1894, and then in the Autumn to compel it to resort to the intermittent system of supply. When it is understood that cisterns are not generally to be found in houses in the District, it will be apparent that great inconvenience frequently resulted from this arrangement. That some better and more certain system of water supply is necessary cannot be doubted. That one of the necessities of life should be in the hands of a trading company, who may limit its supply in the manner I have discussed, possesses risks which at least demand considerable attention. Registered Common Lodging-Houses are now under the control of the London County Council, instead of as formerly being under Police Supervision. These houses are fewer in number, being 86 now, as compared with 98 in the last year. I append a list as usual, showing the number of deaths among the inhabitants of these houses where 10 such deaths took place in the Whitechapel Union Infirmary or other Public Institution.</x:v>
      </x:c>
    </x:row>
    <x:row r="11" ht="82" customHeight="1">
      <x:c r="A11" s="41" t="str">
        <x:v>Core</x:v>
      </x:c>
      <x:c r="B11" s="41" t="str">
        <x:v>1898_0008</x:v>
      </x:c>
      <x:c r="C11" s="41" t="n">
        <x:v>1898</x:v>
      </x:c>
      <x:c r="D11" s="41" t="n">
        <x:v>1899</x:v>
      </x:c>
      <x:c r="E11" s="41" t="str">
        <x:v>5.3 Drainage, water supply and material sanitation</x:v>
      </x:c>
      <x:c r="F11" s="41" t="str">
        <x:v>5</x:v>
      </x:c>
      <x:c r="G11" s="41" t="str">
        <x:v>5</x:v>
      </x:c>
      <x:c r="H11" s="41" t="str">
        <x:v>Explicit poorer inhabitants + material vulnerability</x:v>
      </x:c>
      <x:c r="I11" s="41" t="str">
        <x:v>governance; inequality; sanitary</x:v>
      </x:c>
      <x:c r="J11" s="41" t="str">
        <x:v>governance: board, notices | inequality: poor, poorer | sanitary: drains, nuisance, water supply</x:v>
      </x:c>
      <x:c r="K11" s="41" t="str">
        <x:v>Yes</x:v>
      </x:c>
      <x:c r="L11" s="41" t="str">
        <x:v>Links poorer inhabitants' limited storage capacity to blocked closets, foul drains and emergency intervention.</x:v>
      </x:c>
      <x:c r="M11" s="41" t="str">
        <x:v>Detailed close reading and/or a short direct quotation after page-image verification.</x:v>
      </x:c>
      <x:c r="N11" s="41" t="str"/>
      <x:c r="O11" s="41" t="str">
        <x:v>https://wellcomelibrary.org/moh/report/b19883705</x:v>
      </x:c>
      <x:c r="P11" s="41" t="str">
        <x:v>Stand pipes for the supply of water were erected in prominent places. Street watering and gulley flushing ceased to take place with East London Water�but water from the New River, as well as from the well in the Destructor Yard was freely used for these purposes. The East London Waterworks Company arranged to supply the Board with as many stone jars as should be required for distribution among the poorer inhabitants who were unable to store water for drinking purposes. Notices were printed and distributed throughout the District informing the inhabitants of the hours when the Company had arranged to turn on the water, and also stating that application could be made at the Offices of the Board by persons who required jars. The reason for the latter notice was to enable the Inspectors to visit the homes of applicants, to get information at once of any nuisance which might arise through the limitation of the Water Supply. It soon became apparent that the pans of water closets in the homes of the poor were liable to become choked, and that the house drains became foul where they were used by many people.</x:v>
      </x:c>
    </x:row>
    <x:row r="12" ht="82" customHeight="1">
      <x:c r="A12" s="41" t="str">
        <x:v>Core</x:v>
      </x:c>
      <x:c r="B12" s="41" t="str">
        <x:v>1898_0009</x:v>
      </x:c>
      <x:c r="C12" s="41" t="n">
        <x:v>1898</x:v>
      </x:c>
      <x:c r="D12" s="41" t="n">
        <x:v>1899</x:v>
      </x:c>
      <x:c r="E12" s="41" t="str">
        <x:v>5.3 Drainage, water supply and material sanitation</x:v>
      </x:c>
      <x:c r="F12" s="41" t="str">
        <x:v>5</x:v>
      </x:c>
      <x:c r="G12" s="41" t="str">
        <x:v>5</x:v>
      </x:c>
      <x:c r="H12" s="41" t="str">
        <x:v>Explicit poorest people + emergency service</x:v>
      </x:c>
      <x:c r="I12" s="41" t="str">
        <x:v>disease; housing; inequality; sanitary</x:v>
      </x:c>
      <x:c r="J12" s="41" t="str">
        <x:v>disease: notification | housing: houses | inequality: poorest | sanitary: water supply</x:v>
      </x:c>
      <x:c r="K12" s="41" t="str">
        <x:v>Yes</x:v>
      </x:c>
      <x:c r="L12" s="41" t="str">
        <x:v>Shows direct identification of the poorest residents within a material programme of water and disinfection services.</x:v>
      </x:c>
      <x:c r="M12" s="41" t="str">
        <x:v>Detailed close reading and/or a short direct quotation after page-image verification.</x:v>
      </x:c>
      <x:c r="N12" s="41" t="str"/>
      <x:c r="O12" s="41" t="str">
        <x:v>https://wellcomelibrary.org/moh/report/b19883705</x:v>
      </x:c>
      <x:c r="P12" s="41" t="str">
        <x:v>With the co-operation of the Surveyor, after a consultation with that gentleman and with the Clerks, it was arranged that water vans should be employed to take water to those houses which required it, and that regular daily flushing of water closets of such houses should be carried out. From this time until the Company renewed the constant water supply, nine men were constantly employed with three water vans in carrying on this useful work Each closet which was discovered to be choked, was cleared by means of a plunger, then pails of water were dashed down, and disinfectants were also freely used. Constant service was resumed on the 12th of December, a nine hours supply having taken place on November 23rd. In addition to the above measures, disinfection was regularly performed with per-chloride solution by an additional man. The water closets connected with nearly 300 of the houses occupied by the poorest people were thus daily treated. Whether these precautions limited the number of Infectious cases it is of course impossible to say, but it is interesting to note that the fees paid during the third quarter, for the notification of such diseases, were the lowest since any record has been kept.</x:v>
      </x:c>
    </x:row>
    <x:row r="13" ht="82" customHeight="1">
      <x:c r="A13" s="41" t="str">
        <x:v>Supporting</x:v>
      </x:c>
      <x:c r="B13" s="41" t="str">
        <x:v>1894_0054</x:v>
      </x:c>
      <x:c r="C13" s="41" t="n">
        <x:v>1894</x:v>
      </x:c>
      <x:c r="D13" s="41" t="n">
        <x:v>1895</x:v>
      </x:c>
      <x:c r="E13" s="41" t="str">
        <x:v>5.4 Workplaces, domestic space and unequal exposure</x:v>
      </x:c>
      <x:c r="F13" s="41" t="str">
        <x:v>39–40</x:v>
      </x:c>
      <x:c r="G13" s="41" t="str">
        <x:v>39–40</x:v>
      </x:c>
      <x:c r="H13" s="41" t="str">
        <x:v>Indirect/material</x:v>
      </x:c>
      <x:c r="I13" s="41" t="str">
        <x:v>sanitary</x:v>
      </x:c>
      <x:c r="J13" s="41" t="str">
        <x:v>sanitary: dirty, drain, nuisance</x:v>
      </x:c>
      <x:c r="K13" s="41" t="str">
        <x:v>No</x:v>
      </x:c>
      <x:c r="L13" s="41" t="str">
        <x:v>Supplies address-level corroboration for water, paving, drainage and underground occupation problems.</x:v>
      </x:c>
      <x:c r="M13" s="41" t="str">
        <x:v>Paraphrase or brief corroborating reference where it confirms a pattern or supplies a counterexample.</x:v>
      </x:c>
      <x:c r="N13" s="41" t="str">
        <x:v>Wentworth Street; Fashion Street</x:v>
      </x:c>
      <x:c r="O13" s="41" t="str">
        <x:v>https://wellcomelibrary.org/moh/report/b1801835x</x:v>
      </x:c>
      <x:c r="P13" s="41" t="str">
        <x:v>6, Wentworth Street House dirty and dilapidated. No water for domestic use � 30th Work done. Summons withdrawn. 16, Fashion Street Wilfully stopping up the drain May 4th Fined �2 and 7s. costs. 22, Fieldgate Street Underground room occupied as a dwelling � 8th Occupation discontinued. Summons withdrawn. 40 Situation of Premises. Nature of Nuisance or Complaint. Date of hearing of Summons. Result. 1894 22, Fieldgate Street Fowls kept in filthy sheds in yard, walls and ceilings of house dirty and dilapidated. Yard defectively paved and in a filthy state. No water to water closet owing to defective fittings. Open fireplace in yard without a proper flue May 8th Work done. Summons withdrawn. Tenter Buildings, St. Mark Street Walls and ceilings of passage and staircase dirty. Sinks on 1st and 2nd floor landings not trapped. The water closets on 1st and 2nd floors dirty � 8th Work done. Summons withdrawn. 21, Great Alie Street Yard defectively paved. Drain in yard not properly trapped. Pan of water closet filthy. No eaves gutter to water closet. Back basement, dirty and dilapidated walls and ceilings, and floor defective. Front area not drained and paving of such area defective � 8th Work done.</x:v>
      </x:c>
    </x:row>
    <x:row r="14" ht="82" customHeight="1">
      <x:c r="A14" s="41" t="str">
        <x:v>Core</x:v>
      </x:c>
      <x:c r="B14" s="41" t="str">
        <x:v>1894_0055</x:v>
      </x:c>
      <x:c r="C14" s="41" t="n">
        <x:v>1894</x:v>
      </x:c>
      <x:c r="D14" s="41" t="n">
        <x:v>1895</x:v>
      </x:c>
      <x:c r="E14" s="41" t="str">
        <x:v>5.4 Workplaces, domestic space and unequal exposure</x:v>
      </x:c>
      <x:c r="F14" s="41" t="str">
        <x:v>40</x:v>
      </x:c>
      <x:c r="G14" s="41" t="str">
        <x:v>40</x:v>
      </x:c>
      <x:c r="H14" s="41" t="str">
        <x:v>Indirect workplace and gendered exposure</x:v>
      </x:c>
      <x:c r="I14" s="41" t="str">
        <x:v>housing; sanitary</x:v>
      </x:c>
      <x:c r="J14" s="41" t="str">
        <x:v>housing: overcrowded | sanitary: dirty, nuisance, sanitary</x:v>
      </x:c>
      <x:c r="K14" s="41" t="str">
        <x:v>No</x:v>
      </x:c>
      <x:c r="L14" s="41" t="str">
        <x:v>Connects overcrowded workshops, sleeping space, ventilation and facilities for female workers.</x:v>
      </x:c>
      <x:c r="M14" s="41" t="str">
        <x:v>Detailed close reading and/or a short direct quotation after page-image verification.</x:v>
      </x:c>
      <x:c r="N14" s="41" t="str">
        <x:v>Hanbury Street</x:v>
      </x:c>
      <x:c r="O14" s="41" t="str">
        <x:v>https://wellcomelibrary.org/moh/report/b1801835x</x:v>
      </x:c>
      <x:c r="P14" s="41" t="str">
        <x:v>Summons withdrawn. 178, Hanbury Street Closet situated in workshop stopped and in a filthy state � 10th Work done. Summons withdrawn. 58, White Lion Street Workshop overcrowded � 10th Abatement and prohibition orders made. Fined �1 and �2.2s. costs. *20, White's Row Bakehouse not properly ventilated, in a filthy state, and used as a sleeping apartment � 22nd Bakehouse ordered to be closed forthwith. Fined �2 and 5s. costs. In default of distress 14 days' imprisonment. 29, Old Montague Street Workshop without sufficient and suitable accomodation in the way of sanitary conveniences, and without separate accommodation for the females employed therein, and not properly ventilated. Roof of W.C. defective. Walls of W.C. dirty June 18th Work done. Summons withdrawn, 3s. costs, paid. 126, Old Montague Street Walls and ceiling of workshop dirty. Workshop not properly ventilated � 18th Work done. Summons withdrawn, 3s. costs, paid. 41 Situation of Premises. Nature of Nuisance or Complaint. Date of hearing of Summons. Result. 1894 7, Ely Place Workshop overcrowded June 18th Fined �1 and 3s. costs. 9, Shepherd Street Workshop without sufficient and suitable accommodation in the way of sanitary conveniences, and without separate accommodation for the females employed therein � 18th Work done.</x:v>
      </x:c>
    </x:row>
    <x:row r="15" ht="82" customHeight="1">
      <x:c r="A15" s="41" t="str">
        <x:v>Core</x:v>
      </x:c>
      <x:c r="B15" s="41" t="str">
        <x:v>1895_0075</x:v>
      </x:c>
      <x:c r="C15" s="41" t="n">
        <x:v>1895</x:v>
      </x:c>
      <x:c r="D15" s="41" t="n">
        <x:v>1896</x:v>
      </x:c>
      <x:c r="E15" s="41" t="str">
        <x:v>5.4 Workplaces, domestic space and unequal exposure</x:v>
      </x:c>
      <x:c r="F15" s="41" t="str">
        <x:v>45–46</x:v>
      </x:c>
      <x:c r="G15" s="41" t="str">
        <x:v>45</x:v>
      </x:c>
      <x:c r="H15" s="41" t="str">
        <x:v>Indirect workplace/material</x:v>
      </x:c>
      <x:c r="I15" s="41" t="str">
        <x:v>housing; sanitary</x:v>
      </x:c>
      <x:c r="J15" s="41" t="str">
        <x:v>housing: overcrowded | sanitary: drain, nuisance, sanitary, water supply</x:v>
      </x:c>
      <x:c r="K15" s="41" t="str">
        <x:v>No</x:v>
      </x:c>
      <x:c r="L15" s="41" t="str">
        <x:v>Shows how workplace conditions were converted into closure and abatement actions.</x:v>
      </x:c>
      <x:c r="M15" s="41" t="str">
        <x:v>Detailed close reading and/or a short direct quotation after page-image verification.</x:v>
      </x:c>
      <x:c r="N15" s="41" t="str">
        <x:v>Hanbury Street</x:v>
      </x:c>
      <x:c r="O15" s="41" t="str">
        <x:v>https://wellcomelibrary.org/moh/report/b19883687</x:v>
      </x:c>
      <x:c r="P15" s="41" t="str">
        <x:v>Workshop not properly ventilated � 31st Order to carry out necessary works within 14 days. 141, Hanbury Street Workshop without sufficient and suitable accommodation in the way of sanitary conveniences. Workshop overcrowded and not properly ventilated ,, 31st Order to carry out necessary works within 14 days 62, Cbicksand Street Workshop without sufficient and suitable accommodation in the way of sanitary conveniences. Workshop not properly ventilated � 31st Order to close Workshop within 14 days. 46 Situation of Premises. Nature of Nuisance or Complaint. Date of hearing of Summons. Result. 20, Osborn Street Water closets choked and without proper water supply. Drain in yard not properly trapped. Yard defectively paved 1895. July 31st Order to abate nuisance within 14 days. 22, Heneage Street Workshop not properly ventilated and without sufficient light � 31st Order to close Workshop within 14 days. 20, Corbett's Court Workshops overcrowded and not properly ventilated, and without sufficient and suitable accommodation in the way of sanitary conveniences � 31st Order to close Workshop within 14 days. 80, Pelham Street Selling to a person 30 bags of onions unfit for human food ,, 31st Fined �5. In default of distress one month's imprisonment. Cobb's Yard For having a large quantity of onions deposited in a shed for the purpose of sale � 31st Summons dismissed.</x:v>
      </x:c>
    </x:row>
    <x:row r="16" ht="82" customHeight="1">
      <x:c r="A16" s="41" t="str">
        <x:v>Supporting</x:v>
      </x:c>
      <x:c r="B16" s="41" t="str">
        <x:v>1897_0007</x:v>
      </x:c>
      <x:c r="C16" s="41" t="n">
        <x:v>1897</x:v>
      </x:c>
      <x:c r="D16" s="41" t="n">
        <x:v>1898</x:v>
      </x:c>
      <x:c r="E16" s="41" t="str">
        <x:v>5.4 Workplaces, domestic space and unequal exposure</x:v>
      </x:c>
      <x:c r="F16" s="41" t="str">
        <x:v>4–5</x:v>
      </x:c>
      <x:c r="G16" s="41" t="str">
        <x:v>4–5</x:v>
      </x:c>
      <x:c r="H16" s="41" t="str">
        <x:v>Mixed housing, disease and political economy</x:v>
      </x:c>
      <x:c r="I16" s="41" t="str">
        <x:v>disease; housing; inequality; sanitary</x:v>
      </x:c>
      <x:c r="J16" s="41" t="str">
        <x:v>disease: diphtheria, scarlet fever | housing: dwellings, houses, model dwellings, rooms | inequality: working classes | sanitary: sanitation</x:v>
      </x:c>
      <x:c r="K16" s="41" t="str">
        <x:v>Yes</x:v>
      </x:c>
      <x:c r="L16" s="41" t="str">
        <x:v>Broad supporting passage linking dwelling design, child circulation, infection, land values and working-class provision.</x:v>
      </x:c>
      <x:c r="M16" s="41" t="str">
        <x:v>Paraphrase or brief corroborating reference where it confirms a pattern or supplies a counterexample.</x:v>
      </x:c>
      <x:c r="N16" s="41" t="str"/>
      <x:c r="O16" s="41" t="str">
        <x:v>https://wellcomelibrary.org/moh/report/b19883699</x:v>
      </x:c>
      <x:c r="P16" s="41" t="str">
        <x:v>A staircase leading to a corridor which affords access to many rooms more easily facilitates the spread of disease than in the case of tenements which are more separated. It may also be said that as the staircases and passages frequently have to constitute the playground of the children, another factor is imported to account for the spread of disease. I have collected evidence which supports my opinion that both scarlet fever and diphtheria evince a marked tendency to appear in families who occupy rooms which are adjacent to other rooms where the disease has already appeared. Small houses, with rooms which can be entered from independent staircases commend themselves to my mind as far preferable from many points of view, as dwellings for the working classes; it is 5 certain, however, that owing to the increasing value of land in the Metropolis this desideratum is not yet to be attained. The height too of these modern model dwellings stands in the way of furnishing them with a constant supply of drinking water, The water must, therefore, be stored in cisterns of sufficient capacity to supply all but the lower floors, and this arrangement certainly is not in the direction of improved sanitation.</x:v>
      </x:c>
    </x:row>
    <x:row r="17" ht="82" customHeight="1">
      <x:c r="A17" s="41" t="str">
        <x:v>Core</x:v>
      </x:c>
      <x:c r="B17" s="41" t="str">
        <x:v>1892_0026</x:v>
      </x:c>
      <x:c r="C17" s="41" t="n">
        <x:v>1892</x:v>
      </x:c>
      <x:c r="D17" s="41" t="n">
        <x:v>1893</x:v>
      </x:c>
      <x:c r="E17" s="41" t="str">
        <x:v>5.5 Direct and indirect language of inequality</x:v>
      </x:c>
      <x:c r="F17" s="41" t="str">
        <x:v>17</x:v>
      </x:c>
      <x:c r="G17" s="41" t="str">
        <x:v>17</x:v>
      </x:c>
      <x:c r="H17" s="41" t="str">
        <x:v>Explicit class and destitution language</x:v>
      </x:c>
      <x:c r="I17" s="41" t="str">
        <x:v>housing; inequality; sanitary</x:v>
      </x:c>
      <x:c r="J17" s="41" t="str">
        <x:v>housing: houses | inequality: destitute, lodgers, poorest | sanitary: sanitary</x:v>
      </x:c>
      <x:c r="K17" s="41" t="str">
        <x:v>Yes</x:v>
      </x:c>
      <x:c r="L17" s="41" t="str">
        <x:v>Provides direct class and destitution language while comparing philanthropic shelters and regulated lodging houses.</x:v>
      </x:c>
      <x:c r="M17" s="41" t="str">
        <x:v>Detailed close reading and/or a short direct quotation after page-image verification.</x:v>
      </x:c>
      <x:c r="N17" s="41" t="str"/>
      <x:c r="O17" s="41" t="str">
        <x:v>https://wellcomelibrary.org/moh/report/b19883675</x:v>
      </x:c>
      <x:c r="P17" s="41" t="str">
        <x:v>The Government has been requested to transfer the supervision of these houses from the police to the Local Sanitary Authorities. I must at once declare that when the class of house is taken into consideration, together with the persons who lodge therein, my* experience compels me to assert that the change proposed would not be a good one. At present the police sergeant (who acts under his superintendent) admirably supervises the arrangements for the health of the lodgers, and in matters requiring their intervention, the Sanitary Authorities are called in to co-operate. The regulations governing accommodation and ventilation are well framed under the provision of the Lodginghouses Acts, and I am sorry that all houses, where the comparatively destitute are housed, have not the advantage of similar supervision. It has been my duty on account of a case of small-pox occurring at each, to investigate the sanitary condition of two large shelters provided by a philanthropic association for sleeping the poorest persons. I will not here detail all that I have been compelled to note concerning the places themselves, and the sleeping accommodation provided; but I feel unable to answer the question which arises in my mind, namely :�What good purpose is here being served, which could not be better attained by the police registered and supervised Common-lodging Houses ?</x:v>
      </x:c>
    </x:row>
    <x:row r="18" ht="82" customHeight="1">
      <x:c r="A18" s="41" t="str">
        <x:v>Core</x:v>
      </x:c>
      <x:c r="B18" s="41" t="str">
        <x:v>1894_0025</x:v>
      </x:c>
      <x:c r="C18" s="41" t="n">
        <x:v>1894</x:v>
      </x:c>
      <x:c r="D18" s="41" t="n">
        <x:v>1895</x:v>
      </x:c>
      <x:c r="E18" s="41" t="str">
        <x:v>5.5 Direct and indirect language of inequality</x:v>
      </x:c>
      <x:c r="F18" s="41" t="str">
        <x:v>16–17</x:v>
      </x:c>
      <x:c r="G18" s="41" t="str">
        <x:v>16–17</x:v>
      </x:c>
      <x:c r="H18" s="41" t="str">
        <x:v>Racialised attribution + institutional constraint</x:v>
      </x:c>
      <x:c r="I18" s="41" t="str">
        <x:v>governance; inequality; sanitary</x:v>
      </x:c>
      <x:c r="J18" s="41" t="str">
        <x:v>governance: board | inequality: working classes | sanitary: sanitary</x:v>
      </x:c>
      <x:c r="K18" s="41" t="str">
        <x:v>Yes</x:v>
      </x:c>
      <x:c r="L18" s="41" t="str">
        <x:v>Essential complication: combines racialised attribution with acknowledged delay, institutional weakness and lack of funds.</x:v>
      </x:c>
      <x:c r="M18" s="41" t="str">
        <x:v>Detailed close reading and/or a short direct quotation after page-image verification.</x:v>
      </x:c>
      <x:c r="N18" s="41" t="str"/>
      <x:c r="O18" s="41" t="str">
        <x:v>https://wellcomelibrary.org/moh/report/b1801835x</x:v>
      </x:c>
      <x:c r="P18" s="41" t="str">
        <x:v>He has further pointed out that the influential members of the Jewish Community can to a 17 great extent remedy the evils of which their Sanitary Committee complain, by using such personal influence in aiding their education, that these people may use, instead of abuse, the Sanitary Conveniences provided for them, and to which they have not hitherto been accustomed. The second paragraph of Mr. Murphy's preface to Dr. Hamer's Report has reference to the fact that Whitechapel still has an exceptional number of ill-arranged courts and alleys. If this be so, it is also a fact that they are chiefly contained within the areas well known as "The Bell Lane Area," and "Great Pearl Street." It cannot be necessary to recall the fact that these areas, so far back as 1871, were reprsented to the late Metropolitan Board of Works, and that progress had been made by that Authority in the direction of giving effect to those representations, when it was succeeded by the London County Council. The New Body, by its Committees and Officers, are thoroughly acquainted with the conditions of the areas, and during the present year, the Chairman of the Housing of tho Working Classes Committee admitted to a Deputation of the Whitechapel Board the necessities of the Case, but pleaded " Want of Funds " as a reason for the Council's inactivity in promoting a Bill for acquiring the areas under Part 1 of the " Housing of the Working Classes Act, 1890." Dr.</x:v>
      </x:c>
    </x:row>
    <x:row r="19" ht="82" customHeight="1">
      <x:c r="A19" s="41" t="str">
        <x:v>Core</x:v>
      </x:c>
      <x:c r="B19" s="41" t="str">
        <x:v>1894_0026</x:v>
      </x:c>
      <x:c r="C19" s="41" t="n">
        <x:v>1894</x:v>
      </x:c>
      <x:c r="D19" s="41" t="n">
        <x:v>1895</x:v>
      </x:c>
      <x:c r="E19" s="41" t="str">
        <x:v>5.5 Direct and indirect language of inequality</x:v>
      </x:c>
      <x:c r="F19" s="41" t="str">
        <x:v>17</x:v>
      </x:c>
      <x:c r="G19" s="41" t="str">
        <x:v>17</x:v>
      </x:c>
      <x:c r="H19" s="41" t="str">
        <x:v>Explicit poverty discourse + critical qualification</x:v>
      </x:c>
      <x:c r="I19" s="41" t="str">
        <x:v>governance; housing; inequality</x:v>
      </x:c>
      <x:c r="J19" s="41" t="str">
        <x:v>governance: board, medical officer | housing: rooms | inequality: poverty</x:v>
      </x:c>
      <x:c r="K19" s="41" t="str">
        <x:v>Yes</x:v>
      </x:c>
      <x:c r="L19" s="41" t="str">
        <x:v>Directly invokes poverty as an analytical category, but also records disagreement over its local interpretation.</x:v>
      </x:c>
      <x:c r="M19" s="41" t="str">
        <x:v>Detailed close reading and/or a short direct quotation after page-image verification.</x:v>
      </x:c>
      <x:c r="N19" s="41" t="str"/>
      <x:c r="O19" s="41" t="str">
        <x:v>https://wellcomelibrary.org/moh/report/b1801835x</x:v>
      </x:c>
      <x:c r="P19" s="41" t="str">
        <x:v>Hamer commences his Report with certain statistical information with which the Members of the Whitechapel District Board are familiar, as they entered into their Medical Officer's Report which was issued in the early part of the present year. The Committee do not proposo to discuss the interesting figures which have been extracted from Mr. Booth's excellent book upon "Poverty and Associated Conditions," because in such connection it has been shewn that theory and experience do not always agree with the results which may be deduced from such observations. It is an admitted fact that the Polish Jew, like the Native of the South of Ireland, has a strong affection for his home, be it only a single room: he will use his greatest efforts against being dislodged, even though one can prove to him that two better rooms may be provided for him elsewhere for the same rental. With regard to the other factors, such as excess of young married females, and surplus married males, mentioned by Mr. Booth, and quoted by Dr.</x:v>
      </x:c>
    </x:row>
    <x:row r="20" ht="82" customHeight="1">
      <x:c r="A20" s="41" t="str">
        <x:v>Core</x:v>
      </x:c>
      <x:c r="B20" s="41" t="str">
        <x:v>1895_0010</x:v>
      </x:c>
      <x:c r="C20" s="41" t="n">
        <x:v>1895</x:v>
      </x:c>
      <x:c r="D20" s="41" t="n">
        <x:v>1896</x:v>
      </x:c>
      <x:c r="E20" s="41" t="str">
        <x:v>5.5 Direct and indirect language of inequality</x:v>
      </x:c>
      <x:c r="F20" s="41" t="str">
        <x:v>6</x:v>
      </x:c>
      <x:c r="G20" s="41" t="str">
        <x:v>6</x:v>
      </x:c>
      <x:c r="H20" s="41" t="str">
        <x:v>Explicit stigmatising class language</x:v>
      </x:c>
      <x:c r="I20" s="41" t="str">
        <x:v>governance; housing; inequality</x:v>
      </x:c>
      <x:c r="J20" s="41" t="str">
        <x:v>governance: local government board | housing: houses, overcrowding | inequality: lodging-houses</x:v>
      </x:c>
      <x:c r="K20" s="41" t="str">
        <x:v>Yes</x:v>
      </x:c>
      <x:c r="L20" s="41" t="str">
        <x:v>Strong evidence of explicit and stigmatising social classification in the discussion of shelter overcrowding.</x:v>
      </x:c>
      <x:c r="M20" s="41" t="str">
        <x:v>Detailed close reading and/or a short direct quotation after page-image verification.</x:v>
      </x:c>
      <x:c r="N20" s="41" t="str"/>
      <x:c r="O20" s="41" t="str">
        <x:v>https://wellcomelibrary.org/moh/report/b19883687</x:v>
      </x:c>
      <x:c r="P20" s="41" t="str">
        <x:v>These houses are under certain regulations which are framed under the Lodging-houses Acts. These regulations are now administered by the London County Council. It is felt that shelters which are in themselves totally unsuitable for the purpose, and into which large numbers of the lowest class of persons are crowded, must influence very adversely the health of the District generally. At present, in the absence of regulations, it would be difficult to obtain a conviction before a Magistrate in a prosecution for overcrowding, because those allowances of space which can be enforced in the case of Registered Common Lodging-houses, are thought by many to be too liberal to be applied to Philanthropic Shelters. On August the 2nd a letter was received from the Secretary of the Local Government Board addressed to your Clerk. It called attention to the fact that Small-pox was on the increase in the Metropolis, and it pointed out that the season of the year was not the season when a large increase usually took place.</x:v>
      </x:c>
    </x:row>
    <x:row r="21" ht="82" customHeight="1">
      <x:c r="A21" s="41" t="str">
        <x:v>Core</x:v>
      </x:c>
      <x:c r="B21" s="41" t="str">
        <x:v>1899_0003</x:v>
      </x:c>
      <x:c r="C21" s="41" t="n">
        <x:v>1899</x:v>
      </x:c>
      <x:c r="D21" s="41" t="n">
        <x:v>1900</x:v>
      </x:c>
      <x:c r="E21" s="41" t="str">
        <x:v>5.5 Direct and indirect language of inequality</x:v>
      </x:c>
      <x:c r="F21" s="41" t="str">
        <x:v>3–4</x:v>
      </x:c>
      <x:c r="G21" s="41" t="str">
        <x:v>3</x:v>
      </x:c>
      <x:c r="H21" s="41" t="str">
        <x:v>Explicit foreign category + behavioural attribution</x:v>
      </x:c>
      <x:c r="I21" s="41" t="str">
        <x:v>governance; housing</x:v>
      </x:c>
      <x:c r="J21" s="41" t="str">
        <x:v>governance: board, local government board | housing: houses</x:v>
      </x:c>
      <x:c r="K21" s="41" t="str">
        <x:v>Yes</x:v>
      </x:c>
      <x:c r="L21" s="41" t="str">
        <x:v>Shows explicit national and ethnic categorisation and attribution of sanitary conduct, alongside a regulatory exemption.</x:v>
      </x:c>
      <x:c r="M21" s="41" t="str">
        <x:v>Detailed close reading and/or a short direct quotation after page-image verification.</x:v>
      </x:c>
      <x:c r="N21" s="41" t="str"/>
      <x:c r="O21" s="41" t="str">
        <x:v>https://wellcomelibrary.org/moh/report/b19883717</x:v>
      </x:c>
      <x:c r="P21" s="41" t="str">
        <x:v>At the present time a stranger might readily imagine some parts of our District to belong to a Continental City. The general result from a Public Health point of view of this increase in the Foreign population has been to call for much greater vigilance on the part of your Officers, for I am compelled to admit that neither the owners of houses in the Foreign portions of the District, nor the Tenants themselves, are inclined voluntarily to exert themselves to maintain their property in the best approved condition. It was at first thought that the Public Health (London) Act, 1891, Sec. 94, would have proved most useful in this direction. I anticipated when that class of property which I am now considering was registered, that it would become a simple matter to enforce the provisions of the byelaws which were made under that Section, and which were approved by the Local Government Board. There was a stumbling-block, however, in the exemption clause which permitted the very places to escape registration for which the clause had evidently been framed, merely because higher rents were imposed than allowed them to be included upon the Register for "Houses let in Lodgings and occupied by members of more than one Family." 4 Your Board recently had this question under discussion.</x:v>
      </x:c>
    </x:row>
    <x:row r="22" ht="82" customHeight="1">
      <x:c r="A22" s="41" t="str">
        <x:v>Supporting</x:v>
      </x:c>
      <x:c r="B22" s="41" t="str">
        <x:v>1892_0017</x:v>
      </x:c>
      <x:c r="C22" s="41" t="n">
        <x:v>1892</x:v>
      </x:c>
      <x:c r="D22" s="41" t="n">
        <x:v>1893</x:v>
      </x:c>
      <x:c r="E22" s="41" t="str">
        <x:v>5.5 Direct and indirect language of inequality</x:v>
      </x:c>
      <x:c r="F22" s="41" t="str">
        <x:v>11–12</x:v>
      </x:c>
      <x:c r="G22" s="41" t="str">
        <x:v>11</x:v>
      </x:c>
      <x:c r="H22" s="41" t="str">
        <x:v>Explicit social/ethnic category</x:v>
      </x:c>
      <x:c r="I22" s="41" t="str">
        <x:v>disease; governance; housing; sanitary</x:v>
      </x:c>
      <x:c r="J22" s="41" t="str">
        <x:v>disease: cholera, diarrhoea | governance: local government board | housing: houses, model dwellings | sanitary: sanitary, water supply</x:v>
      </x:c>
      <x:c r="K22" s="41" t="str">
        <x:v>Yes</x:v>
      </x:c>
      <x:c r="L22" s="41" t="str">
        <x:v>Useful counterexample for examining ethnicised explanations of sanitary risk; retained as support because the passage is broad.</x:v>
      </x:c>
      <x:c r="M22" s="41" t="str">
        <x:v>Paraphrase or brief corroborating reference where it confirms a pattern or supplies a counterexample.</x:v>
      </x:c>
      <x:c r="N22" s="41" t="str"/>
      <x:c r="O22" s="41" t="str">
        <x:v>https://wellcomelibrary.org/moh/report/b19883675</x:v>
      </x:c>
      <x:c r="P22" s="41" t="str">
        <x:v>As all Reports upon the subject were orally communicated either by myself directly, or in combination with statements made by your Clerk, it may be advisable that I should now briefly recapitulate the chief details which will inform the Local Government Board as to the condition of the Whitechapel District. In 1884 I reported to the Committee of Works as follows:�"Although in "1866. about 35 per cent. of our Residents suffered from Cholera, Choleraic "Diarrhoea, or Diarrhoea; and 566 lives (or over 7 per 1000 of the population) "were sacrificed to this terrible epidemic, I feel justified in asserting that a "repetition of such a history cannot occur in Whitechapel. Not only have many "of the worst houses been removed, but the entire District is in every way in a "far better Sanitary condition now. The water supply is also sufficient and " good." To a still greater extent these remarks are applicable to our District at the present time. More Model Dwellings occupy the site of former insanitary houses, and although certain parts of the Distridt�as much on account of the habits of immigrant foreigners, as from the condition of the houses�require to be improved, B 2 12 yet they are surrounded by a cordon of wholesome domiciles, so that, although sporadic cases of Cholera might become imported into the District, I do not think the conditions exists which are required for the Disease to become seriously epidemic.</x:v>
      </x:c>
    </x:row>
    <x:row r="23" ht="82" customHeight="1">
      <x:c r="A23" s="41" t="str">
        <x:v>Supporting</x:v>
      </x:c>
      <x:c r="B23" s="41" t="str">
        <x:v>1893_0023</x:v>
      </x:c>
      <x:c r="C23" s="41" t="n">
        <x:v>1893</x:v>
      </x:c>
      <x:c r="D23" s="41" t="n">
        <x:v>1894</x:v>
      </x:c>
      <x:c r="E23" s="41" t="str">
        <x:v>5.5 Direct and indirect language of inequality</x:v>
      </x:c>
      <x:c r="F23" s="41" t="str">
        <x:v>9–10</x:v>
      </x:c>
      <x:c r="G23" s="41" t="str">
        <x:v>10</x:v>
      </x:c>
      <x:c r="H23" s="41" t="str">
        <x:v>Explicit poor + inspection boundary</x:v>
      </x:c>
      <x:c r="I23" s="41" t="str">
        <x:v>governance; housing; inequality; sanitary</x:v>
      </x:c>
      <x:c r="J23" s="41" t="str">
        <x:v>governance: inspections | housing: houses | inequality: lodging-houses, poor | sanitary: sanitary, water supply</x:v>
      </x:c>
      <x:c r="K23" s="41" t="str">
        <x:v>No</x:v>
      </x:c>
      <x:c r="L23" s="41" t="str">
        <x:v>Confirms that explicit reference to the very poor could be tied to unequal regulatory coverage.</x:v>
      </x:c>
      <x:c r="M23" s="41" t="str">
        <x:v>Paraphrase or brief corroborating reference where it confirms a pattern or supplies a counterexample.</x:v>
      </x:c>
      <x:c r="N23" s="41" t="str"/>
      <x:c r="O23" s="41" t="str">
        <x:v>https://wellcomelibrary.org/moh/report/b18018348</x:v>
      </x:c>
      <x:c r="P23" s="41" t="str">
        <x:v>The question is of such vital importance to the health of the inhabitants, that I hope some means may be found to avert a repetition of last year's experience. So far as the general quality of the District water supply is concerned, the official returns leave little to be desired. I have generally included in my Report some particulars concerning Registered Common Lodging-houses, and 1 again do so. It has been decided by the Home Secretary that so soon as arrangements can be made, he will transfer the jurisdiction of this class of Lodging-house from the police to the Local Authorities, so far as the Sanitary overlooking of them will be concerned. The police will still retain the right of entry for other purposes. I can only express a hope that the new plan will be as successful as the old plan has been. I have also appended a list of so-called philanthropic shelters within the District. These are in reality Common Lodging-houses b 2 10 not registered. I trust the time will soon arrive when all places set apart for the lodging of the very poor will be benefitted by the official inspections, to which the registered houses have long been subjected.</x:v>
      </x:c>
    </x:row>
    <x:row r="24" ht="82" customHeight="1">
      <x:c r="A24" s="41" t="str">
        <x:v>Supporting</x:v>
      </x:c>
      <x:c r="B24" s="41" t="str">
        <x:v>1896_0021</x:v>
      </x:c>
      <x:c r="C24" s="41" t="n">
        <x:v>1896</x:v>
      </x:c>
      <x:c r="D24" s="41" t="n">
        <x:v>1897</x:v>
      </x:c>
      <x:c r="E24" s="41" t="str">
        <x:v>5.5 Direct and indirect language of inequality</x:v>
      </x:c>
      <x:c r="F24" s="41" t="str">
        <x:v>10</x:v>
      </x:c>
      <x:c r="G24" s="41" t="str">
        <x:v>10</x:v>
      </x:c>
      <x:c r="H24" s="41" t="str">
        <x:v>Explicit poor-housing institution + defensive governance</x:v>
      </x:c>
      <x:c r="I24" s="41" t="str">
        <x:v>housing; inequality</x:v>
      </x:c>
      <x:c r="J24" s="41" t="str">
        <x:v>housing: dwellings | inequality: poor</x:v>
      </x:c>
      <x:c r="K24" s="41" t="str">
        <x:v>Yes</x:v>
      </x:c>
      <x:c r="L24" s="41" t="str">
        <x:v>Provides supporting evidence of contest over poor housing and the Board's defensive account of enforcement.</x:v>
      </x:c>
      <x:c r="M24" s="41" t="str">
        <x:v>Paraphrase or brief corroborating reference where it confirms a pattern or supplies a counterexample.</x:v>
      </x:c>
      <x:c r="N24" s="41" t="str"/>
      <x:c r="O24" s="41" t="str">
        <x:v>https://wellcomelibrary.org/moh/report/b18038244</x:v>
      </x:c>
      <x:c r="P24" s="41" t="str">
        <x:v>As an illustration, you may remember how the Mansion House Council on the Dwellings of the Poor, through their local agent, proceeded against the owners of Booth Street Buildings under the Public Health (London) Act, 1891. It was alleged that your Officers had not performed their duty. The case was heard upon two occasions by Mr. Cluer at the Worship Street Police Court. The evidence for the prosecution was heard by me with great astonishment. I was present upon subpoena and gave evidence. The best comment upon the whole case is the summing up of the learned magistrate which I introduce here. "I do not see I have any option but "to dismiss this summons, I shall not be entitled to make an order "against the owner of these premises, unless they were in such a state as "to be injurious to health, and that was in the information set out. "With reference to the water-closets, the evidence as to that satisfies me "that though not perhaps such as would be seen in King's Palaces, at "the same time it is said by Dr.</x:v>
      </x:c>
    </x:row>
  </x:sheetData>
  <x:conditionalFormatting sqref="A2:A24">
    <x:cfRule type="expression" dxfId="5" priority="1">
      <x:formula>A2="Core"</x:formula>
    </x:cfRule>
    <x:cfRule type="expression" dxfId="6" priority="2">
      <x:formula>A2="Supporting"</x:formula>
    </x:cfRule>
  </x:conditionalFormatting>
  <x:conditionalFormatting sqref="K2:K24">
    <x:cfRule type="expression" dxfId="7" priority="3">
      <x:formula>K2="Yes"</x:formula>
    </x:cfRule>
  </x:conditionalFormatting>
  <x:pageMargins left="0.7" right="0.7" top="0.75" bottom="0.75" header="0.3" footer="0.3"/>
  <x:tableParts count="1">
    <x:tablePart xmlns:r="http://schemas.openxmlformats.org/officeDocument/2006/relationships" r:id="Rf0ac2420c5b84829"/>
  </x:tableParts>
</x:worksheet>
</file>

<file path=xl/worksheets/sheet7.xml><?xml version="1.0" encoding="utf-8"?>
<x:worksheet xmlns:x="http://schemas.openxmlformats.org/spreadsheetml/2006/main">
  <x:sheetFormatPr defaultRowHeight="15"/>
  <x:cols>
    <x:col min="1" max="1" width="15" hidden="0" customWidth="1"/>
    <x:col min="2" max="2" width="12" hidden="0" customWidth="1"/>
    <x:col min="3" max="3" width="36" hidden="0" customWidth="1"/>
    <x:col min="4" max="4" width="28" hidden="0" customWidth="1"/>
    <x:col min="5" max="5" width="28" hidden="0" customWidth="1"/>
    <x:col min="6" max="6" width="28" hidden="0" customWidth="1"/>
    <x:col min="7" max="7" width="28" hidden="0" customWidth="1"/>
    <x:col min="8" max="8" width="48" hidden="0" customWidth="1"/>
    <x:col min="9" max="9" width="24" hidden="0" customWidth="1"/>
    <x:col min="10" max="10" width="24" hidden="0" customWidth="1"/>
  </x:cols>
  <x:sheetData>
    <x:row r="1">
      <x:c r="A1" s="59" t="str">
        <x:v>Open-ended tests for the Chapter 5 argument</x:v>
      </x:c>
      <x:c r="B1" s="59"/>
      <x:c r="C1" s="59"/>
      <x:c r="D1" s="59"/>
      <x:c r="E1" s="59"/>
      <x:c r="F1" s="59"/>
      <x:c r="G1" s="59"/>
      <x:c r="H1" s="59"/>
      <x:c r="I1" s="59"/>
      <x:c r="J1" s="59"/>
    </x:row>
    <x:row r="3">
      <x:c r="A3" s="63" t="str">
        <x:v>The table does not treat any one hypothesis as the answer. It records how each core passage supports, challenges or complicates three possibilities: (A) explicit inequality language is scarce; (B) social inequality is embedded in material and environmental descriptions; and (C) the form of inequality language varies by report, document type and administrative context.</x:v>
      </x:c>
      <x:c r="B3" s="63"/>
      <x:c r="C3" s="63"/>
      <x:c r="D3" s="63"/>
      <x:c r="E3" s="63"/>
      <x:c r="F3" s="63"/>
      <x:c r="G3" s="63"/>
      <x:c r="H3" s="63"/>
      <x:c r="I3" s="63"/>
      <x:c r="J3" s="63"/>
    </x:row>
    <x:row r="4">
      <x:c r="A4" s="63"/>
      <x:c r="B4" s="63"/>
      <x:c r="C4" s="63"/>
      <x:c r="D4" s="63"/>
      <x:c r="E4" s="63"/>
      <x:c r="F4" s="63"/>
      <x:c r="G4" s="63"/>
      <x:c r="H4" s="63"/>
      <x:c r="I4" s="63"/>
      <x:c r="J4" s="63"/>
    </x:row>
    <x:row r="5">
      <x:c r="A5" s="63"/>
      <x:c r="B5" s="63"/>
      <x:c r="C5" s="63"/>
      <x:c r="D5" s="63"/>
      <x:c r="E5" s="63"/>
      <x:c r="F5" s="63"/>
      <x:c r="G5" s="63"/>
      <x:c r="H5" s="63"/>
      <x:c r="I5" s="63"/>
      <x:c r="J5" s="63"/>
    </x:row>
    <x:row r="7">
      <x:c r="A7" s="68" t="str">
        <x:v>Passage ID</x:v>
      </x:c>
      <x:c r="B7" s="68" t="str">
        <x:v>Report Year</x:v>
      </x:c>
      <x:c r="C7" s="68" t="str">
        <x:v>Section</x:v>
      </x:c>
      <x:c r="D7" s="68" t="str">
        <x:v>Signal</x:v>
      </x:c>
      <x:c r="E7" s="68" t="str">
        <x:v>Test A: explicit language scarce</x:v>
      </x:c>
      <x:c r="F7" s="68" t="str">
        <x:v>Test B: embedded in material language</x:v>
      </x:c>
      <x:c r="G7" s="68" t="str">
        <x:v>Test C: varies by context</x:v>
      </x:c>
      <x:c r="H7" s="68" t="str">
        <x:v>Interpretive Note</x:v>
      </x:c>
      <x:c r="I7" s="68" t="str">
        <x:v>Scan Verification</x:v>
      </x:c>
      <x:c r="J7" s="68" t="str">
        <x:v>Final Coding Decision</x:v>
      </x:c>
    </x:row>
    <x:row r="8" ht="68" customHeight="1">
      <x:c r="A8" s="41" t="str">
        <x:v>1890_0024</x:v>
      </x:c>
      <x:c r="B8" s="41" t="n">
        <x:v>1890</x:v>
      </x:c>
      <x:c r="C8" s="41" t="str">
        <x:v>5.2 Housing, overcrowding and insanitary premises</x:v>
      </x:c>
      <x:c r="D8" s="41" t="str">
        <x:v>Mixed: explicit poor + material defects</x:v>
      </x:c>
      <x:c r="E8" s="41" t="str">
        <x:v>Challenges simple scarcity claim</x:v>
      </x:c>
      <x:c r="F8" s="41" t="str">
        <x:v>Supports embedded-language hypothesis</x:v>
      </x:c>
      <x:c r="G8" s="41" t="str">
        <x:v>Not primary</x:v>
      </x:c>
      <x:c r="H8" s="41" t="str">
        <x:v>Material defects and explicit poor language appear together.</x:v>
      </x:c>
      <x:c r="I8" s="41" t="str">
        <x:v>Verified against original page image</x:v>
      </x:c>
      <x:c r="J8" s="41" t="str">
        <x:v>Retain as core evidence</x:v>
      </x:c>
    </x:row>
    <x:row r="9" ht="68" customHeight="1">
      <x:c r="A9" s="41" t="str">
        <x:v>1892_0020</x:v>
      </x:c>
      <x:c r="B9" s="41" t="n">
        <x:v>1892</x:v>
      </x:c>
      <x:c r="C9" s="41" t="str">
        <x:v>5.3 Drainage, water supply and material sanitation</x:v>
      </x:c>
      <x:c r="D9" s="41" t="str">
        <x:v>Indirect/material</x:v>
      </x:c>
      <x:c r="E9" s="41" t="str">
        <x:v>Neutral</x:v>
      </x:c>
      <x:c r="F9" s="41" t="str">
        <x:v>Supports material framing</x:v>
      </x:c>
      <x:c r="G9" s="41" t="str">
        <x:v>Not primary</x:v>
      </x:c>
      <x:c r="H9" s="41" t="str">
        <x:v>Useful for environmental language but cannot establish the absence of explicit inequality language.</x:v>
      </x:c>
      <x:c r="I9" s="41" t="str">
        <x:v>Verified against original page image</x:v>
      </x:c>
      <x:c r="J9" s="41" t="str">
        <x:v>Retain as core evidence</x:v>
      </x:c>
    </x:row>
    <x:row r="10" ht="68" customHeight="1">
      <x:c r="A10" s="41" t="str">
        <x:v>1892_0026</x:v>
      </x:c>
      <x:c r="B10" s="41" t="n">
        <x:v>1892</x:v>
      </x:c>
      <x:c r="C10" s="41" t="str">
        <x:v>5.5 Direct and indirect language of inequality</x:v>
      </x:c>
      <x:c r="D10" s="41" t="str">
        <x:v>Explicit class and destitution language</x:v>
      </x:c>
      <x:c r="E10" s="41" t="str">
        <x:v>Challenges simple scarcity claim</x:v>
      </x:c>
      <x:c r="F10" s="41" t="str">
        <x:v>Supports embedded/contextual hypothesis</x:v>
      </x:c>
      <x:c r="G10" s="41" t="str">
        <x:v>Relevant</x:v>
      </x:c>
      <x:c r="H10" s="41" t="str">
        <x:v>Direct destitution language appears in an institutional comparison.</x:v>
      </x:c>
      <x:c r="I10" s="41" t="str">
        <x:v>Verified against original page image</x:v>
      </x:c>
      <x:c r="J10" s="41" t="str">
        <x:v>Retain as core evidence</x:v>
      </x:c>
    </x:row>
    <x:row r="11" ht="68" customHeight="1">
      <x:c r="A11" s="41" t="str">
        <x:v>1894_0014</x:v>
      </x:c>
      <x:c r="B11" s="41" t="n">
        <x:v>1894</x:v>
      </x:c>
      <x:c r="C11" s="41" t="str">
        <x:v>5.3 Drainage, water supply and material sanitation</x:v>
      </x:c>
      <x:c r="D11" s="41" t="str">
        <x:v>Indirect/material</x:v>
      </x:c>
      <x:c r="E11" s="41" t="str">
        <x:v>Neutral</x:v>
      </x:c>
      <x:c r="F11" s="41" t="str">
        <x:v>Supports material framing</x:v>
      </x:c>
      <x:c r="G11" s="41" t="str">
        <x:v>Not primary</x:v>
      </x:c>
      <x:c r="H11" s="41" t="str">
        <x:v>Shows vulnerability through water provision without relying on a general poverty category.</x:v>
      </x:c>
      <x:c r="I11" s="41" t="str">
        <x:v>Verified against original page image</x:v>
      </x:c>
      <x:c r="J11" s="41" t="str">
        <x:v>Retain as core evidence</x:v>
      </x:c>
    </x:row>
    <x:row r="12" ht="68" customHeight="1">
      <x:c r="A12" s="41" t="str">
        <x:v>1894_0020</x:v>
      </x:c>
      <x:c r="B12" s="41" t="n">
        <x:v>1894</x:v>
      </x:c>
      <x:c r="C12" s="41" t="str">
        <x:v>5.2 Housing, overcrowding and insanitary premises</x:v>
      </x:c>
      <x:c r="D12" s="41" t="str">
        <x:v>Working-class legal category + material housing</x:v>
      </x:c>
      <x:c r="E12" s="41" t="str">
        <x:v>Challenges simple scarcity claim</x:v>
      </x:c>
      <x:c r="F12" s="41" t="str">
        <x:v>Supports embedded/contextual hypothesis</x:v>
      </x:c>
      <x:c r="G12" s="41" t="str">
        <x:v>Relevant</x:v>
      </x:c>
      <x:c r="H12" s="41" t="str">
        <x:v>Working-class category is legal-administrative and tied to defective property.</x:v>
      </x:c>
      <x:c r="I12" s="41" t="str">
        <x:v>Verified against original page image</x:v>
      </x:c>
      <x:c r="J12" s="41" t="str">
        <x:v>Retain as core evidence</x:v>
      </x:c>
    </x:row>
    <x:row r="13" ht="68" customHeight="1">
      <x:c r="A13" s="41" t="str">
        <x:v>1894_0025</x:v>
      </x:c>
      <x:c r="B13" s="41" t="n">
        <x:v>1894</x:v>
      </x:c>
      <x:c r="C13" s="41" t="str">
        <x:v>5.5 Direct and indirect language of inequality</x:v>
      </x:c>
      <x:c r="D13" s="41" t="str">
        <x:v>Racialised attribution + institutional constraint</x:v>
      </x:c>
      <x:c r="E13" s="41" t="str">
        <x:v>Challenges poverty-only definition</x:v>
      </x:c>
      <x:c r="F13" s="41" t="str">
        <x:v>Complicates / partial</x:v>
      </x:c>
      <x:c r="G13" s="41" t="str">
        <x:v>Supports contextual variation</x:v>
      </x:c>
      <x:c r="H13" s="41" t="str">
        <x:v>Racialised behaviour attribution sits beside acknowledged administrative and financial constraints.</x:v>
      </x:c>
      <x:c r="I13" s="41" t="str">
        <x:v>Verified against original page image</x:v>
      </x:c>
      <x:c r="J13" s="41" t="str">
        <x:v>Retain as core evidence</x:v>
      </x:c>
    </x:row>
    <x:row r="14" ht="68" customHeight="1">
      <x:c r="A14" s="41" t="str">
        <x:v>1894_0026</x:v>
      </x:c>
      <x:c r="B14" s="41" t="n">
        <x:v>1894</x:v>
      </x:c>
      <x:c r="C14" s="41" t="str">
        <x:v>5.5 Direct and indirect language of inequality</x:v>
      </x:c>
      <x:c r="D14" s="41" t="str">
        <x:v>Explicit poverty discourse + critical qualification</x:v>
      </x:c>
      <x:c r="E14" s="41" t="str">
        <x:v>Challenges simple scarcity claim</x:v>
      </x:c>
      <x:c r="F14" s="41" t="str">
        <x:v>Complicates / partial</x:v>
      </x:c>
      <x:c r="G14" s="41" t="str">
        <x:v>Supports contextual variation</x:v>
      </x:c>
      <x:c r="H14" s="41" t="str">
        <x:v>Poverty is named directly, but its local applicability is debated.</x:v>
      </x:c>
      <x:c r="I14" s="41" t="str">
        <x:v>Verified against original page image</x:v>
      </x:c>
      <x:c r="J14" s="41" t="str">
        <x:v>Retain as core evidence</x:v>
      </x:c>
    </x:row>
    <x:row r="15" ht="68" customHeight="1">
      <x:c r="A15" s="41" t="str">
        <x:v>1894_0055</x:v>
      </x:c>
      <x:c r="B15" s="41" t="n">
        <x:v>1894</x:v>
      </x:c>
      <x:c r="C15" s="41" t="str">
        <x:v>5.4 Workplaces, domestic space and unequal exposure</x:v>
      </x:c>
      <x:c r="D15" s="41" t="str">
        <x:v>Indirect workplace and gendered exposure</x:v>
      </x:c>
      <x:c r="E15" s="41" t="str">
        <x:v>Neutral</x:v>
      </x:c>
      <x:c r="F15" s="41" t="str">
        <x:v>Supports embedded-language hypothesis</x:v>
      </x:c>
      <x:c r="G15" s="41" t="str">
        <x:v>Not primary</x:v>
      </x:c>
      <x:c r="H15" s="41" t="str">
        <x:v>Unequal occupational and gendered exposure is expressed through workshop conditions.</x:v>
      </x:c>
      <x:c r="I15" s="41" t="str">
        <x:v>Verified against original page image</x:v>
      </x:c>
      <x:c r="J15" s="41" t="str">
        <x:v>Retain as core evidence</x:v>
      </x:c>
    </x:row>
    <x:row r="16" ht="68" customHeight="1">
      <x:c r="A16" s="41" t="str">
        <x:v>1895_0010</x:v>
      </x:c>
      <x:c r="B16" s="41" t="n">
        <x:v>1895</x:v>
      </x:c>
      <x:c r="C16" s="41" t="str">
        <x:v>5.5 Direct and indirect language of inequality</x:v>
      </x:c>
      <x:c r="D16" s="41" t="str">
        <x:v>Explicit stigmatising class language</x:v>
      </x:c>
      <x:c r="E16" s="41" t="str">
        <x:v>Challenges simple scarcity claim</x:v>
      </x:c>
      <x:c r="F16" s="41" t="str">
        <x:v>Complicates / partial</x:v>
      </x:c>
      <x:c r="G16" s="41" t="str">
        <x:v>Supports contextual variation</x:v>
      </x:c>
      <x:c r="H16" s="41" t="str">
        <x:v>Explicit stigmatising class language appears in a shelter context.</x:v>
      </x:c>
      <x:c r="I16" s="41" t="str">
        <x:v>Verified against original page image</x:v>
      </x:c>
      <x:c r="J16" s="41" t="str">
        <x:v>Retain as core evidence</x:v>
      </x:c>
    </x:row>
    <x:row r="17" ht="68" customHeight="1">
      <x:c r="A17" s="41" t="str">
        <x:v>1895_0075</x:v>
      </x:c>
      <x:c r="B17" s="41" t="n">
        <x:v>1895</x:v>
      </x:c>
      <x:c r="C17" s="41" t="str">
        <x:v>5.4 Workplaces, domestic space and unequal exposure</x:v>
      </x:c>
      <x:c r="D17" s="41" t="str">
        <x:v>Indirect workplace/material</x:v>
      </x:c>
      <x:c r="E17" s="41" t="str">
        <x:v>Neutral</x:v>
      </x:c>
      <x:c r="F17" s="41" t="str">
        <x:v>Supports material framing</x:v>
      </x:c>
      <x:c r="G17" s="41" t="str">
        <x:v>Not primary</x:v>
      </x:c>
      <x:c r="H17" s="41" t="str">
        <x:v>Risk is expressed through actionable workshop defects.</x:v>
      </x:c>
      <x:c r="I17" s="41" t="str">
        <x:v>Verified against original page image</x:v>
      </x:c>
      <x:c r="J17" s="41" t="str">
        <x:v>Retain as core evidence</x:v>
      </x:c>
    </x:row>
    <x:row r="18" ht="68" customHeight="1">
      <x:c r="A18" s="41" t="str">
        <x:v>1897_0024</x:v>
      </x:c>
      <x:c r="B18" s="41" t="n">
        <x:v>1897</x:v>
      </x:c>
      <x:c r="C18" s="41" t="str">
        <x:v>5.2 Housing, overcrowding and insanitary premises</x:v>
      </x:c>
      <x:c r="D18" s="41" t="str">
        <x:v>Indirect/institutional housing delay</x:v>
      </x:c>
      <x:c r="E18" s="41" t="str">
        <x:v>Neutral</x:v>
      </x:c>
      <x:c r="F18" s="41" t="str">
        <x:v>Supports institutional/material framing</x:v>
      </x:c>
      <x:c r="G18" s="41" t="str">
        <x:v>Not primary</x:v>
      </x:c>
      <x:c r="H18" s="41" t="str">
        <x:v>Inequality is legible through delayed area improvement rather than an explicit poverty label.</x:v>
      </x:c>
      <x:c r="I18" s="41" t="str">
        <x:v>Verified against original page image</x:v>
      </x:c>
      <x:c r="J18" s="41" t="str">
        <x:v>Retain as core evidence</x:v>
      </x:c>
    </x:row>
    <x:row r="19" ht="68" customHeight="1">
      <x:c r="A19" s="41" t="str">
        <x:v>1898_0008</x:v>
      </x:c>
      <x:c r="B19" s="41" t="n">
        <x:v>1898</x:v>
      </x:c>
      <x:c r="C19" s="41" t="str">
        <x:v>5.3 Drainage, water supply and material sanitation</x:v>
      </x:c>
      <x:c r="D19" s="41" t="str">
        <x:v>Explicit poorer inhabitants + material vulnerability</x:v>
      </x:c>
      <x:c r="E19" s="41" t="str">
        <x:v>Challenges simple scarcity claim</x:v>
      </x:c>
      <x:c r="F19" s="41" t="str">
        <x:v>Supports embedded-language hypothesis</x:v>
      </x:c>
      <x:c r="G19" s="41" t="str">
        <x:v>Not primary</x:v>
      </x:c>
      <x:c r="H19" s="41" t="str">
        <x:v>Explicit poorer-resident language is inseparable from water storage and drainage vulnerability.</x:v>
      </x:c>
      <x:c r="I19" s="41" t="str">
        <x:v>Verified against original page image</x:v>
      </x:c>
      <x:c r="J19" s="41" t="str">
        <x:v>Retain as core evidence</x:v>
      </x:c>
    </x:row>
    <x:row r="20" ht="68" customHeight="1">
      <x:c r="A20" s="41" t="str">
        <x:v>1898_0009</x:v>
      </x:c>
      <x:c r="B20" s="41" t="n">
        <x:v>1898</x:v>
      </x:c>
      <x:c r="C20" s="41" t="str">
        <x:v>5.3 Drainage, water supply and material sanitation</x:v>
      </x:c>
      <x:c r="D20" s="41" t="str">
        <x:v>Explicit poorest people + emergency service</x:v>
      </x:c>
      <x:c r="E20" s="41" t="str">
        <x:v>Challenges simple scarcity claim</x:v>
      </x:c>
      <x:c r="F20" s="41" t="str">
        <x:v>Supports embedded-language hypothesis</x:v>
      </x:c>
      <x:c r="G20" s="41" t="str">
        <x:v>Not primary</x:v>
      </x:c>
      <x:c r="H20" s="41" t="str">
        <x:v>The poorest residents are directly named within emergency water and disinfection provision.</x:v>
      </x:c>
      <x:c r="I20" s="41" t="str">
        <x:v>Verified against original page image</x:v>
      </x:c>
      <x:c r="J20" s="41" t="str">
        <x:v>Retain as core evidence</x:v>
      </x:c>
    </x:row>
    <x:row r="21" ht="68" customHeight="1">
      <x:c r="A21" s="41" t="str">
        <x:v>1899_0003</x:v>
      </x:c>
      <x:c r="B21" s="41" t="n">
        <x:v>1899</x:v>
      </x:c>
      <x:c r="C21" s="41" t="str">
        <x:v>5.5 Direct and indirect language of inequality</x:v>
      </x:c>
      <x:c r="D21" s="41" t="str">
        <x:v>Explicit foreign category + behavioural attribution</x:v>
      </x:c>
      <x:c r="E21" s="41" t="str">
        <x:v>Challenges poverty-only definition</x:v>
      </x:c>
      <x:c r="F21" s="41" t="str">
        <x:v>Complicates / partial</x:v>
      </x:c>
      <x:c r="G21" s="41" t="str">
        <x:v>Supports contextual variation</x:v>
      </x:c>
      <x:c r="H21" s="41" t="str">
        <x:v>National and ethnic categories, not only class categories, organise the sanitary account.</x:v>
      </x:c>
      <x:c r="I21" s="41" t="str">
        <x:v>Verified against original page image</x:v>
      </x:c>
      <x:c r="J21" s="41" t="str">
        <x:v>Retain as core evidence</x:v>
      </x:c>
    </x:row>
    <x:row r="22" ht="68" customHeight="1">
      <x:c r="A22" s="41" t="str">
        <x:v>1899_0038</x:v>
      </x:c>
      <x:c r="B22" s="41" t="n">
        <x:v>1899</x:v>
      </x:c>
      <x:c r="C22" s="41" t="str">
        <x:v>5.2 Housing, overcrowding and insanitary premises</x:v>
      </x:c>
      <x:c r="D22" s="41" t="str">
        <x:v>Housing improvement, displacement and conversion</x:v>
      </x:c>
      <x:c r="E22" s="41" t="str">
        <x:v>Neutral</x:v>
      </x:c>
      <x:c r="F22" s="41" t="str">
        <x:v>Supports contextual/material hypothesis</x:v>
      </x:c>
      <x:c r="G22" s="41" t="str">
        <x:v>Relevant</x:v>
      </x:c>
      <x:c r="H22" s="41" t="str">
        <x:v>Improvement is assessed through housing replacement, displacement and land-use change.</x:v>
      </x:c>
      <x:c r="I22" s="41" t="str">
        <x:v>Verified against original page image</x:v>
      </x:c>
      <x:c r="J22" s="41" t="str">
        <x:v>Retain as core evidence</x:v>
      </x:c>
    </x:row>
  </x:sheetData>
  <x:mergeCells>
    <x:mergeCell ref="A1:J1"/>
    <x:mergeCell ref="A3:J5"/>
  </x:mergeCells>
  <x:dataValidations count="1">
    <x:dataValidation type="list" sqref="J8:J22">
      <x:formula1>"Supports A,Supports B,Supports C,Supports B and C,Challenges A,Ambiguous,Exclude"</x:formula1>
    </x:dataValidation>
  </x:dataValidations>
  <x:pageMargins left="0.7" right="0.7" top="0.75" bottom="0.75" header="0.3" footer="0.3"/>
  <x:tableParts count="1">
    <x:tablePart xmlns:r="http://schemas.openxmlformats.org/officeDocument/2006/relationships" r:id="R23cb2828f8054d5a"/>
  </x:tableParts>
</x:worksheet>
</file>

<file path=xl/worksheets/sheet8.xml><?xml version="1.0" encoding="utf-8"?>
<x:worksheet xmlns:x="http://schemas.openxmlformats.org/spreadsheetml/2006/main">
  <x:sheetFormatPr defaultRowHeight="15"/>
  <x:cols>
    <x:col min="1" max="1" width="48" hidden="0" customWidth="1"/>
    <x:col min="2" max="2" width="14" hidden="0" customWidth="1"/>
    <x:col min="3" max="3" width="14" hidden="0" customWidth="1"/>
    <x:col min="4" max="4" width="14" hidden="0" customWidth="1"/>
    <x:col min="6" max="6" width="16" hidden="0" customWidth="1"/>
    <x:col min="7" max="7" width="16" hidden="0" customWidth="1"/>
    <x:col min="8" max="8" width="16" hidden="0" customWidth="1"/>
    <x:col min="9" max="9" width="16" hidden="0" customWidth="1"/>
    <x:col min="10" max="10" width="16" hidden="0" customWidth="1"/>
  </x:cols>
  <x:sheetData>
    <x:row r="1">
      <x:c r="A1" s="59" t="str">
        <x:v>Chapter 5 Evidence Selection Balance</x:v>
      </x:c>
      <x:c r="B1" s="59"/>
      <x:c r="C1" s="59"/>
      <x:c r="D1" s="59"/>
      <x:c r="E1" s="59"/>
      <x:c r="F1" s="59"/>
      <x:c r="G1" s="59"/>
      <x:c r="H1" s="59"/>
      <x:c r="I1" s="59"/>
      <x:c r="J1" s="59"/>
    </x:row>
    <x:row r="3">
      <x:c r="A3" s="69" t="str">
        <x:v>Section</x:v>
      </x:c>
      <x:c r="B3" s="69" t="str">
        <x:v>Core</x:v>
      </x:c>
      <x:c r="C3" s="69" t="str">
        <x:v>Supporting</x:v>
      </x:c>
      <x:c r="D3" s="69" t="str">
        <x:v>Total</x:v>
      </x:c>
      <x:c r="F3" s="63" t="str">
        <x:v>Interpretive status after second-round selection
The selected material does not support a simple claim that direct social language is absent. Explicit terms relating to poverty, class, national or ethnic groups occur in several passages, but they often appear alongside material conditions, institutional categories or administrative disputes. This is a preliminary pattern to test through page-image verification and close reading, not the chapter's final conclusion.</x:v>
      </x:c>
      <x:c r="G3" s="63"/>
      <x:c r="H3" s="63"/>
      <x:c r="I3" s="63"/>
      <x:c r="J3" s="63"/>
    </x:row>
    <x:row r="4">
      <x:c r="A4" t="str">
        <x:v>5.2 Housing, overcrowding and insanitary premises</x:v>
      </x:c>
      <x:c r="B4" t="n">
        <x:f>COUNTIFS('Final Evidence Set'!$A$2:$A$24,"Core",'Final Evidence Set'!$E$2:$E$24,A4)</x:f>
        <x:v>4</x:v>
      </x:c>
      <x:c r="C4" t="n">
        <x:f>COUNTIFS('Final Evidence Set'!$A$2:$A$24,"Supporting",'Final Evidence Set'!$E$2:$E$24,A4)</x:f>
        <x:v>3</x:v>
      </x:c>
      <x:c r="D4" t="n">
        <x:f>SUM(B4:C4)</x:f>
        <x:v>7</x:v>
      </x:c>
      <x:c r="F4" s="63"/>
      <x:c r="G4" s="63"/>
      <x:c r="H4" s="63"/>
      <x:c r="I4" s="63"/>
      <x:c r="J4" s="63"/>
    </x:row>
    <x:row r="5">
      <x:c r="A5" t="str">
        <x:v>5.3 Drainage, water supply and material sanitation</x:v>
      </x:c>
      <x:c r="B5" t="n">
        <x:f>COUNTIFS('Final Evidence Set'!$A$2:$A$24,"Core",'Final Evidence Set'!$E$2:$E$24,A5)</x:f>
        <x:v>4</x:v>
      </x:c>
      <x:c r="C5" t="n">
        <x:f>COUNTIFS('Final Evidence Set'!$A$2:$A$24,"Supporting",'Final Evidence Set'!$E$2:$E$24,A5)</x:f>
        <x:v>0</x:v>
      </x:c>
      <x:c r="D5" t="n">
        <x:f>SUM(B5:C5)</x:f>
        <x:v>4</x:v>
      </x:c>
      <x:c r="F5" s="63"/>
      <x:c r="G5" s="63"/>
      <x:c r="H5" s="63"/>
      <x:c r="I5" s="63"/>
      <x:c r="J5" s="63"/>
    </x:row>
    <x:row r="6">
      <x:c r="A6" t="str">
        <x:v>5.4 Workplaces, domestic space and unequal exposure</x:v>
      </x:c>
      <x:c r="B6" t="n">
        <x:f>COUNTIFS('Final Evidence Set'!$A$2:$A$24,"Core",'Final Evidence Set'!$E$2:$E$24,A6)</x:f>
        <x:v>2</x:v>
      </x:c>
      <x:c r="C6" t="n">
        <x:f>COUNTIFS('Final Evidence Set'!$A$2:$A$24,"Supporting",'Final Evidence Set'!$E$2:$E$24,A6)</x:f>
        <x:v>2</x:v>
      </x:c>
      <x:c r="D6" t="n">
        <x:f>SUM(B6:C6)</x:f>
        <x:v>4</x:v>
      </x:c>
      <x:c r="F6" s="63"/>
      <x:c r="G6" s="63"/>
      <x:c r="H6" s="63"/>
      <x:c r="I6" s="63"/>
      <x:c r="J6" s="63"/>
    </x:row>
    <x:row r="7">
      <x:c r="A7" t="str">
        <x:v>5.5 Direct and indirect language of inequality</x:v>
      </x:c>
      <x:c r="B7" t="n">
        <x:f>COUNTIFS('Final Evidence Set'!$A$2:$A$24,"Core",'Final Evidence Set'!$E$2:$E$24,A7)</x:f>
        <x:v>5</x:v>
      </x:c>
      <x:c r="C7" t="n">
        <x:f>COUNTIFS('Final Evidence Set'!$A$2:$A$24,"Supporting",'Final Evidence Set'!$E$2:$E$24,A7)</x:f>
        <x:v>3</x:v>
      </x:c>
      <x:c r="D7" t="n">
        <x:f>SUM(B7:C7)</x:f>
        <x:v>8</x:v>
      </x:c>
      <x:c r="F7" s="63"/>
      <x:c r="G7" s="63"/>
      <x:c r="H7" s="63"/>
      <x:c r="I7" s="63"/>
      <x:c r="J7" s="63"/>
    </x:row>
    <x:row r="8">
      <x:c r="A8" s="71" t="str">
        <x:v>Total</x:v>
      </x:c>
      <x:c r="B8" s="71" t="n">
        <x:f>SUM(B4:B7)</x:f>
        <x:v>15</x:v>
      </x:c>
      <x:c r="C8" s="71" t="n">
        <x:f>SUM(C4:C7)</x:f>
        <x:v>8</x:v>
      </x:c>
      <x:c r="D8" s="71" t="n">
        <x:f>SUM(D4:D7)</x:f>
        <x:v>23</x:v>
      </x:c>
    </x:row>
    <x:row r="10">
      <x:c r="A10" s="65" t="str">
        <x:v>Checkpoint</x:v>
      </x:c>
      <x:c r="B10" s="65" t="str">
        <x:v>Result</x:v>
      </x:c>
    </x:row>
    <x:row r="11">
      <x:c r="A11" t="str">
        <x:v>Core passages</x:v>
      </x:c>
      <x:c r="B11" t="n">
        <x:f>COUNTIF('Final Evidence Set'!$A$2:$A$24,"Core")</x:f>
        <x:v>15</x:v>
      </x:c>
    </x:row>
    <x:row r="12">
      <x:c r="A12" t="str">
        <x:v>Supporting passages</x:v>
      </x:c>
      <x:c r="B12" t="n">
        <x:f>COUNTIF('Final Evidence Set'!$A$2:$A$24,"Supporting")</x:f>
        <x:v>8</x:v>
      </x:c>
    </x:row>
    <x:row r="13">
      <x:c r="A13" t="str">
        <x:v>Excluded after second-round review</x:v>
      </x:c>
      <x:c r="B13" t="n">
        <x:v>1</x:v>
      </x:c>
    </x:row>
    <x:row r="14">
      <x:c r="A14" t="str">
        <x:v>Core passages in the dedicated inequality section</x:v>
      </x:c>
      <x:c r="B14" t="n">
        <x:f>COUNTIFS('Final Evidence Set'!$A$2:$A$24,"Core",'Final Evidence Set'!$E$2:$E$24,"5.5 Direct and indirect language of inequality")</x:f>
        <x:v>5</x:v>
      </x:c>
    </x:row>
    <x:row r="15">
      <x:c r="A15" t="str">
        <x:v>Protected inequality minimum met</x:v>
      </x:c>
      <x:c r="B15" t="str">
        <x:f>IF(B14&gt;=4,"Yes","No")</x:f>
        <x:v>Yes</x:v>
      </x:c>
    </x:row>
  </x:sheetData>
  <x:mergeCells>
    <x:mergeCell ref="A1:J1"/>
    <x:mergeCell ref="F3:J7"/>
  </x:mergeCells>
  <x:conditionalFormatting sqref="B15:B15">
    <x:cfRule type="expression" dxfId="8" priority="1">
      <x:formula>B15="Yes"</x:formula>
    </x:cfRule>
  </x:conditionalFormatting>
  <x:pageMargins left="0.7" right="0.7" top="0.75" bottom="0.75" header="0.3" footer="0.3"/>
  <x:drawing xmlns:r="http://schemas.openxmlformats.org/officeDocument/2006/relationships" r:id="Ra831aedcc4c64b79"/>
</x:worksheet>
</file>

<file path=xl/worksheets/sheet9.xml><?xml version="1.0" encoding="utf-8"?>
<x:worksheet xmlns:x="http://schemas.openxmlformats.org/spreadsheetml/2006/main">
  <x:sheetViews>
    <x:sheetView showGridLines="0" workbookViewId="0"/>
  </x:sheetViews>
  <x:sheetFormatPr defaultRowHeight="15"/>
  <x:cols>
    <x:col min="1" max="1" width="15" hidden="0" customWidth="1"/>
    <x:col min="2" max="2" width="9" hidden="0" customWidth="1"/>
    <x:col min="3" max="3" width="11" hidden="0" customWidth="1"/>
    <x:col min="4" max="4" width="14" hidden="0" customWidth="1"/>
    <x:col min="5" max="5" width="14" hidden="0" customWidth="1"/>
    <x:col min="6" max="6" width="20" hidden="0" customWidth="1"/>
    <x:col min="7" max="7" width="72" hidden="0" customWidth="1"/>
    <x:col min="8" max="8" width="46" hidden="0" customWidth="1"/>
    <x:col min="9" max="9" width="42" hidden="0" customWidth="1"/>
    <x:col min="10" max="10" width="34" hidden="0" customWidth="1"/>
    <x:col min="11" max="11" width="48" hidden="0" customWidth="1"/>
    <x:col min="12" max="12" width="14" hidden="0" customWidth="1"/>
  </x:cols>
  <x:sheetData>
    <x:row r="1" ht="34" customHeight="1">
      <x:c r="A1" s="80" t="str">
        <x:v>Passage ID</x:v>
      </x:c>
      <x:c r="B1" s="80" t="str">
        <x:v>Section</x:v>
      </x:c>
      <x:c r="C1" s="80" t="str">
        <x:v>Report Year</x:v>
      </x:c>
      <x:c r="D1" s="80" t="str">
        <x:v>Printed Page(s)</x:v>
      </x:c>
      <x:c r="E1" s="80" t="str">
        <x:v>Key Quote Page</x:v>
      </x:c>
      <x:c r="F1" s="80" t="str">
        <x:v>Scan Status</x:v>
      </x:c>
      <x:c r="G1" s="80" t="str">
        <x:v>Verified Quotation-Ready Excerpt(s)</x:v>
      </x:c>
      <x:c r="H1" s="80" t="str">
        <x:v>OCR / Page Correction Note</x:v>
      </x:c>
      <x:c r="I1" s="80" t="str">
        <x:v>Analytical Use</x:v>
      </x:c>
      <x:c r="J1" s="80" t="str">
        <x:v>Source URL</x:v>
      </x:c>
      <x:c r="K1" s="80" t="str">
        <x:v>Page Viewer URL</x:v>
      </x:c>
      <x:c r="L1" s="80" t="str">
        <x:v>Checked On</x:v>
      </x:c>
    </x:row>
    <x:row r="2" ht="96" customHeight="1">
      <x:c r="A2" s="72" t="str">
        <x:v>1890_0024</x:v>
      </x:c>
      <x:c r="B2" s="72" t="str">
        <x:v>5.2</x:v>
      </x:c>
      <x:c r="C2" s="76" t="n">
        <x:v>1890</x:v>
      </x:c>
      <x:c r="D2" s="72" t="str">
        <x:v>18</x:v>
      </x:c>
      <x:c r="E2" s="72" t="str">
        <x:v>18</x:v>
      </x:c>
      <x:c r="F2" s="72" t="str">
        <x:v>Verified against original page image</x:v>
      </x:c>
      <x:c r="G2" s="72" t="str">
        <x:v>This is obviously true, but in any case it is satisfactory to know that magistrates are determined to assist Local Authorities to improve the dwellings of the poor.</x:v>
      </x:c>
      <x:c r="H2" s="72" t="str">
        <x:v>Chosen excerpt matches the scan. Repeated margin quotation marks and line-break hyphenation in the preceding OCR have not been carried into the quotation.</x:v>
      </x:c>
      <x:c r="I2" s="72" t="str">
        <x:v>Establishes the official link between housing enforcement and the ‘dwellings of the poor’.</x:v>
      </x:c>
      <x:c r="J2" s="72" t="str">
        <x:v>https://wellcomelibrary.org/moh/report/b19883651</x:v>
      </x:c>
      <x:c r="K2" s="72" t="str">
        <x:v>https://wellcomelibrary.org/moh/report/b19883651/17#?c=0&amp;m=0&amp;s=0&amp;cv=17</x:v>
      </x:c>
      <x:c r="L2" s="77" t="str">
        <x:v>2026-08-05</x:v>
      </x:c>
    </x:row>
    <x:row r="3" ht="96" customHeight="1">
      <x:c r="A3" s="72" t="str">
        <x:v>1894_0020</x:v>
      </x:c>
      <x:c r="B3" s="72" t="str">
        <x:v>5.2</x:v>
      </x:c>
      <x:c r="C3" s="76" t="n">
        <x:v>1894</x:v>
      </x:c>
      <x:c r="D3" s="72" t="str">
        <x:v>15</x:v>
      </x:c>
      <x:c r="E3" s="72" t="str">
        <x:v>15</x:v>
      </x:c>
      <x:c r="F3" s="72" t="str">
        <x:v>Verified against original page image</x:v>
      </x:c>
      <x:c r="G3" s="72" t="str">
        <x:v>that Parliament threw upon the County Council the imperative duty, under certain circumstances, of (at practically whatever cost) buying out unhealthy buildings of persons of the working-class, and seeing that more suitable dwellings were placed thereon.</x:v>
      </x:c>
      <x:c r="H3" s="72" t="str">
        <x:v>Wording checked against the scan; repeated opening quotation marks created by the printed block-quote layout have been normalised.</x:v>
      </x:c>
      <x:c r="I3" s="72" t="str">
        <x:v>Contrasts the language of an imperative legal duty with the report’s account of implementation difficulty.</x:v>
      </x:c>
      <x:c r="J3" s="72" t="str">
        <x:v>https://wellcomelibrary.org/moh/report/b1801835x</x:v>
      </x:c>
      <x:c r="K3" s="72" t="str">
        <x:v>https://wellcomelibrary.org/moh/report/b1801835x/14#?c=0&amp;m=0&amp;s=0&amp;cv=14</x:v>
      </x:c>
      <x:c r="L3" s="77" t="str">
        <x:v>2026-08-05</x:v>
      </x:c>
    </x:row>
    <x:row r="4" ht="96" customHeight="1">
      <x:c r="A4" s="72" t="str">
        <x:v>1897_0024</x:v>
      </x:c>
      <x:c r="B4" s="72" t="str">
        <x:v>5.2</x:v>
      </x:c>
      <x:c r="C4" s="76" t="n">
        <x:v>1897</x:v>
      </x:c>
      <x:c r="D4" s="72" t="str">
        <x:v>11</x:v>
      </x:c>
      <x:c r="E4" s="72" t="str">
        <x:v>11</x:v>
      </x:c>
      <x:c r="F4" s="72" t="str">
        <x:v>Verified against original page image</x:v>
      </x:c>
      <x:c r="G4" s="72" t="str">
        <x:v>I quite expected to have seen some evidence before now that the ‘Bell Lane area’ scheme was at last likely to be an accomplished fact—but whatever the cause of the delay may be at present, the area remains in a worse state than ever.</x:v>
      </x:c>
      <x:c r="H4" s="72" t="str">
        <x:v>Selected sentence matches the scan. Elsewhere in the candidate OCR, ‘ce-operate’ and ‘suoh’ should read ‘co-operate’ and ‘such’.</x:v>
      </x:c>
      <x:c r="I4" s="72" t="str">
        <x:v>Provides direct counterevidence to a simple progress narrative: administrative delay coincided with worsening conditions.</x:v>
      </x:c>
      <x:c r="J4" s="72" t="str">
        <x:v>https://wellcomelibrary.org/moh/report/b19883699</x:v>
      </x:c>
      <x:c r="K4" s="72" t="str">
        <x:v>https://wellcomelibrary.org/moh/report/b19883699/10#?c=0&amp;m=0&amp;s=0&amp;cv=10</x:v>
      </x:c>
      <x:c r="L4" s="77" t="str">
        <x:v>2026-08-05</x:v>
      </x:c>
    </x:row>
    <x:row r="5" ht="120" customHeight="1">
      <x:c r="A5" s="72" t="str">
        <x:v>1899_0038</x:v>
      </x:c>
      <x:c r="B5" s="72" t="str">
        <x:v>5.2</x:v>
      </x:c>
      <x:c r="C5" s="76" t="n">
        <x:v>1899</x:v>
      </x:c>
      <x:c r="D5" s="72" t="str">
        <x:v>18</x:v>
      </x:c>
      <x:c r="E5" s="72" t="str">
        <x:v>18</x:v>
      </x:c>
      <x:c r="F5" s="72" t="str">
        <x:v>Verified against original page image</x:v>
      </x:c>
      <x:c r="G5" s="72" t="str">
        <x:v>Quote A: About 800 persons who occupied the 120 houses in the Bell Lane area have become scattered—although probably in a few months provision will be made to re-house as many, or perhaps more. Quote B: On the whole it is clear that more accommodation now exists for the working classes in the Whitechapel District than was the case before these changes took place.</x:v>
      </x:c>
      <x:c r="H5" s="72" t="str">
        <x:v>Both sentences match the scan. In the full candidate OCR, ‘houseB’ should read ‘houses’.</x:v>
      </x:c>
      <x:c r="I5" s="72" t="str">
        <x:v>Use the two sentences together to expose the tension between displacement and the retrospective claim of expanded accommodation.</x:v>
      </x:c>
      <x:c r="J5" s="72" t="str">
        <x:v>https://wellcomelibrary.org/moh/report/b19883717</x:v>
      </x:c>
      <x:c r="K5" s="72" t="str">
        <x:v>https://wellcomelibrary.org/moh/report/b19883717/17#?c=0&amp;m=0&amp;s=0&amp;cv=17</x:v>
      </x:c>
      <x:c r="L5" s="77" t="str">
        <x:v>2026-08-05</x:v>
      </x:c>
    </x:row>
    <x:row r="6" ht="96" customHeight="1">
      <x:c r="A6" s="72" t="str">
        <x:v>1892_0020</x:v>
      </x:c>
      <x:c r="B6" s="72" t="str">
        <x:v>5.3</x:v>
      </x:c>
      <x:c r="C6" s="76" t="n">
        <x:v>1892</x:v>
      </x:c>
      <x:c r="D6" s="72" t="str">
        <x:v>12–13</x:v>
      </x:c>
      <x:c r="E6" s="72" t="str">
        <x:v>12</x:v>
      </x:c>
      <x:c r="F6" s="72" t="str">
        <x:v>Verified against original page image</x:v>
      </x:c>
      <x:c r="G6" s="72" t="str">
        <x:v>Perfect cleanliness in person and Dwelling, and avoidance of all nuisances in and around the house is of utmost importance. […] Avoid overcrowding, and ventilate all rooms.</x:v>
      </x:c>
      <x:c r="H6" s="72" t="str">
        <x:v>The excerpt was checked on printed page 12. Repeated margin quotation marks were normalised; the full OCR’s damaged ‘Diarrhœa’ character should not be copied.</x:v>
      </x:c>
      <x:c r="I6" s="72" t="str">
        <x:v>Shows emergency public-health instruction shifting preventive duties into domestic conduct while presuming access to water and ventilation.</x:v>
      </x:c>
      <x:c r="J6" s="72" t="str">
        <x:v>https://wellcomelibrary.org/moh/report/b19883675</x:v>
      </x:c>
      <x:c r="K6" s="72" t="str">
        <x:v>https://wellcomelibrary.org/moh/report/b19883675/11#?c=0&amp;m=0&amp;s=0&amp;cv=11</x:v>
      </x:c>
      <x:c r="L6" s="77" t="str">
        <x:v>2026-08-05</x:v>
      </x:c>
    </x:row>
    <x:row r="7" ht="96" customHeight="1">
      <x:c r="A7" s="72" t="str">
        <x:v>1894_0014</x:v>
      </x:c>
      <x:c r="B7" s="72" t="str">
        <x:v>5.3</x:v>
      </x:c>
      <x:c r="C7" s="76" t="n">
        <x:v>1894</x:v>
      </x:c>
      <x:c r="D7" s="72" t="str">
        <x:v>9–10</x:v>
      </x:c>
      <x:c r="E7" s="72" t="str">
        <x:v>9</x:v>
      </x:c>
      <x:c r="F7" s="72" t="str">
        <x:v>Verified against original page image</x:v>
      </x:c>
      <x:c r="G7" s="72" t="str">
        <x:v>That one of the necessities of life should be in the hands of a trading company, who may limit its supply in the manner I have discussed, possesses risks which at least demand considerable attention.</x:v>
      </x:c>
      <x:c r="H7" s="72" t="str">
        <x:v>Page correction: the key water-supply paragraph is on printed page 9 and only its transition to the lodging-house material crosses onto page 10. The previous table incorrectly gave page 10 as the key page.</x:v>
      </x:c>
      <x:c r="I7" s="72" t="str">
        <x:v>Frames unequal water insecurity as a structural risk produced by commercial control, not merely household behaviour.</x:v>
      </x:c>
      <x:c r="J7" s="72" t="str">
        <x:v>https://wellcomelibrary.org/moh/report/b1801835x</x:v>
      </x:c>
      <x:c r="K7" s="72" t="str">
        <x:v>https://wellcomelibrary.org/moh/report/b1801835x/8#?c=0&amp;m=0&amp;s=0&amp;cv=8</x:v>
      </x:c>
      <x:c r="L7" s="77" t="str">
        <x:v>2026-08-05</x:v>
      </x:c>
    </x:row>
    <x:row r="8" ht="96" customHeight="1">
      <x:c r="A8" s="72" t="str">
        <x:v>1898_0008</x:v>
      </x:c>
      <x:c r="B8" s="72" t="str">
        <x:v>5.3</x:v>
      </x:c>
      <x:c r="C8" s="76" t="n">
        <x:v>1898</x:v>
      </x:c>
      <x:c r="D8" s="72" t="str">
        <x:v>5</x:v>
      </x:c>
      <x:c r="E8" s="72" t="str">
        <x:v>5</x:v>
      </x:c>
      <x:c r="F8" s="72" t="str">
        <x:v>Verified against original page image</x:v>
      </x:c>
      <x:c r="G8" s="72" t="str">
        <x:v>The East London Waterworks Company arranged to supply the Board with as many stone jars as should be required for distribution among the poorer inhabitants who were unable to store water for drinking purposes.</x:v>
      </x:c>
      <x:c r="H8" s="72" t="str">
        <x:v>Chosen sentence matches the scan. Elsewhere in the candidate OCR, the page-break replacement character in ‘Water—but’ should be an em dash.</x:v>
      </x:c>
      <x:c r="I8" s="72" t="str">
        <x:v>Connects intermittent supply to unequal storage capacity and identifies poorer residents as specifically vulnerable.</x:v>
      </x:c>
      <x:c r="J8" s="72" t="str">
        <x:v>https://wellcomelibrary.org/moh/report/b19883705</x:v>
      </x:c>
      <x:c r="K8" s="72" t="str">
        <x:v>https://wellcomelibrary.org/moh/report/b19883705/4#?c=0&amp;m=0&amp;s=0&amp;cv=4</x:v>
      </x:c>
      <x:c r="L8" s="77" t="str">
        <x:v>2026-08-05</x:v>
      </x:c>
    </x:row>
    <x:row r="9" ht="96" customHeight="1">
      <x:c r="A9" s="72" t="str">
        <x:v>1898_0009</x:v>
      </x:c>
      <x:c r="B9" s="72" t="str">
        <x:v>5.3</x:v>
      </x:c>
      <x:c r="C9" s="76" t="n">
        <x:v>1898</x:v>
      </x:c>
      <x:c r="D9" s="72" t="str">
        <x:v>5</x:v>
      </x:c>
      <x:c r="E9" s="72" t="str">
        <x:v>5</x:v>
      </x:c>
      <x:c r="F9" s="72" t="str">
        <x:v>Verified against original page image</x:v>
      </x:c>
      <x:c r="G9" s="72" t="str">
        <x:v>The water closets connected with nearly 300 of the houses occupied by the poorest people were thus daily treated.</x:v>
      </x:c>
      <x:c r="H9" s="72" t="str">
        <x:v>Chosen sentence matches the scan. In the preceding OCR, a full stop is missing between ‘this useful work’ and ‘Each closet’.</x:v>
      </x:c>
      <x:c r="I9" s="72" t="str">
        <x:v>Quantifies the emergency sanitary labour directed toward houses occupied by the poorest residents without treating the figure as a population estimate.</x:v>
      </x:c>
      <x:c r="J9" s="72" t="str">
        <x:v>https://wellcomelibrary.org/moh/report/b19883705</x:v>
      </x:c>
      <x:c r="K9" s="72" t="str">
        <x:v>https://wellcomelibrary.org/moh/report/b19883705/4#?c=0&amp;m=0&amp;s=0&amp;cv=4</x:v>
      </x:c>
      <x:c r="L9" s="77" t="str">
        <x:v>2026-08-05</x:v>
      </x:c>
    </x:row>
    <x:row r="10" ht="96" customHeight="1">
      <x:c r="A10" s="72" t="str">
        <x:v>1894_0055</x:v>
      </x:c>
      <x:c r="B10" s="72" t="str">
        <x:v>5.4</x:v>
      </x:c>
      <x:c r="C10" s="76" t="n">
        <x:v>1894</x:v>
      </x:c>
      <x:c r="D10" s="72" t="str">
        <x:v>40</x:v>
      </x:c>
      <x:c r="E10" s="72" t="str">
        <x:v>40</x:v>
      </x:c>
      <x:c r="F10" s="72" t="str">
        <x:v>Verified against original page image</x:v>
      </x:c>
      <x:c r="G10" s="72" t="str">
        <x:v>Workshop without sufficient and suitable accommodation in the way of sanitary conveniences, and without separate accommodation for the females employed therein, and not properly ventilated.</x:v>
      </x:c>
      <x:c r="H10" s="72" t="str">
        <x:v>The scan confirms ‘accommodation’; the candidate OCR misspells it as ‘accomodation’. Ditto marks and damaged currency symbols elsewhere in the table are not reproduced.</x:v>
      </x:c>
      <x:c r="I10" s="72" t="str">
        <x:v>A focused example of workplace sanitation combining ventilation failure with gendered inadequacy of facilities.</x:v>
      </x:c>
      <x:c r="J10" s="72" t="str">
        <x:v>https://wellcomelibrary.org/moh/report/b1801835x</x:v>
      </x:c>
      <x:c r="K10" s="72" t="str">
        <x:v>https://wellcomelibrary.org/moh/report/b1801835x/39#?c=0&amp;m=0&amp;s=0&amp;cv=39</x:v>
      </x:c>
      <x:c r="L10" s="77" t="str">
        <x:v>2026-08-05</x:v>
      </x:c>
    </x:row>
    <x:row r="11" ht="96" customHeight="1">
      <x:c r="A11" s="72" t="str">
        <x:v>1895_0075</x:v>
      </x:c>
      <x:c r="B11" s="72" t="str">
        <x:v>5.4</x:v>
      </x:c>
      <x:c r="C11" s="76" t="n">
        <x:v>1895</x:v>
      </x:c>
      <x:c r="D11" s="72" t="str">
        <x:v>45–46</x:v>
      </x:c>
      <x:c r="E11" s="72" t="str">
        <x:v>45</x:v>
      </x:c>
      <x:c r="F11" s="72" t="str">
        <x:v>Verified against original page image</x:v>
      </x:c>
      <x:c r="G11" s="72" t="str">
        <x:v>Workshop overcrowded and not properly ventilated.</x:v>
      </x:c>
      <x:c r="H11" s="72" t="str">
        <x:v>Chosen table entry matches the scan. Elsewhere in the candidate OCR, ‘Cbicksand Street’ should read ‘Chicksand Street’ and replacement characters represent ditto marks.</x:v>
      </x:c>
      <x:c r="I11" s="72" t="str">
        <x:v>Use as corroborating case-level evidence of coupled overcrowding and ventilation failure, not as a prevalence rate.</x:v>
      </x:c>
      <x:c r="J11" s="72" t="str">
        <x:v>https://wellcomelibrary.org/moh/report/b19883687</x:v>
      </x:c>
      <x:c r="K11" s="72" t="str">
        <x:v>https://wellcomelibrary.org/moh/report/b19883687/44#?c=0&amp;m=0&amp;s=0&amp;cv=44</x:v>
      </x:c>
      <x:c r="L11" s="77" t="str">
        <x:v>2026-08-05</x:v>
      </x:c>
    </x:row>
    <x:row r="12" ht="96" customHeight="1">
      <x:c r="A12" s="72" t="str">
        <x:v>1892_0026</x:v>
      </x:c>
      <x:c r="B12" s="72" t="str">
        <x:v>5.5</x:v>
      </x:c>
      <x:c r="C12" s="76" t="n">
        <x:v>1892</x:v>
      </x:c>
      <x:c r="D12" s="72" t="str">
        <x:v>17</x:v>
      </x:c>
      <x:c r="E12" s="72" t="str">
        <x:v>17</x:v>
      </x:c>
      <x:c r="F12" s="72" t="str">
        <x:v>Verified against original page image</x:v>
      </x:c>
      <x:c r="G12" s="72" t="str">
        <x:v>I am sorry that all houses, where the comparatively destitute are housed, have not the advantage of similar supervision.</x:v>
      </x:c>
      <x:c r="H12" s="72" t="str">
        <x:v>Chosen sentence matches the scan. The asterisk following ‘my’ elsewhere is a printed note marker; the damaged punctuation after ‘namely’ should be an em dash.</x:v>
      </x:c>
      <x:c r="I12" s="72" t="str">
        <x:v>Supplies direct language of destitution while locating protection in supervision rather than in improved material provision.</x:v>
      </x:c>
      <x:c r="J12" s="72" t="str">
        <x:v>https://wellcomelibrary.org/moh/report/b19883675</x:v>
      </x:c>
      <x:c r="K12" s="72" t="str">
        <x:v>https://wellcomelibrary.org/moh/report/b19883675/16#?c=0&amp;m=0&amp;s=0&amp;cv=16</x:v>
      </x:c>
      <x:c r="L12" s="77" t="str">
        <x:v>2026-08-05</x:v>
      </x:c>
    </x:row>
    <x:row r="13" ht="168" customHeight="1">
      <x:c r="A13" s="72" t="str">
        <x:v>1894_0025</x:v>
      </x:c>
      <x:c r="B13" s="72" t="str">
        <x:v>5.5</x:v>
      </x:c>
      <x:c r="C13" s="76" t="n">
        <x:v>1894</x:v>
      </x:c>
      <x:c r="D13" s="72" t="str">
        <x:v>16–17</x:v>
      </x:c>
      <x:c r="E13" s="72" t="str">
        <x:v>16–17</x:v>
      </x:c>
      <x:c r="F13" s="72" t="str">
        <x:v>Verified against original page image</x:v>
      </x:c>
      <x:c r="G13" s="72" t="str">
        <x:v>Quote A: Now it is only necessary to remember the fact that these Dwellings are inhabited almost entirely by Polish Jews, to be sure that the Inspector to the Jewish Board of Guardians is in error if he supposes that the defects to which he called attention from time to time remained unremedied so long as the Report of his Committee would lead a reader to believe. Quote B: during the present year, the Chairman of the Housing of the Working Classes Committee admitted to a Deputation of the Whitechapel Board the necessities of the Case, but pleaded ‘Want of Funds’ as a reason for the Council’s inactivity in promoting a Bill for acquiring the areas under Part 1 of the ‘Housing of the Working Classes Act, 1890.’</x:v>
      </x:c>
      <x:c r="H13" s="72" t="str">
        <x:v>Both excerpts were checked on pages 16–17. Candidate OCR ‘reprsented’ and ‘tho’ should read ‘represented’ and ‘the’.</x:v>
      </x:c>
      <x:c r="I13" s="72" t="str">
        <x:v>Set the defensive ethnic attribution beside the explicit institutional claim of financial constraint; do not reproduce the official framing as fact.</x:v>
      </x:c>
      <x:c r="J13" s="72" t="str">
        <x:v>https://wellcomelibrary.org/moh/report/b1801835x</x:v>
      </x:c>
      <x:c r="K13" s="72" t="str">
        <x:v>https://wellcomelibrary.org/moh/report/b1801835x/15#?c=0&amp;m=0&amp;s=0&amp;cv=15 | https://wellcomelibrary.org/moh/report/b1801835x/16#?c=0&amp;m=0&amp;s=0&amp;cv=16</x:v>
      </x:c>
      <x:c r="L13" s="77" t="str">
        <x:v>2026-08-05</x:v>
      </x:c>
    </x:row>
    <x:row r="14" ht="144" customHeight="1">
      <x:c r="A14" s="72" t="str">
        <x:v>1894_0026</x:v>
      </x:c>
      <x:c r="B14" s="72" t="str">
        <x:v>5.5</x:v>
      </x:c>
      <x:c r="C14" s="76" t="n">
        <x:v>1894</x:v>
      </x:c>
      <x:c r="D14" s="72" t="str">
        <x:v>17</x:v>
      </x:c>
      <x:c r="E14" s="72" t="str">
        <x:v>17</x:v>
      </x:c>
      <x:c r="F14" s="72" t="str">
        <x:v>Verified against original page image</x:v>
      </x:c>
      <x:c r="G14" s="72" t="str">
        <x:v>Quote A: The Committee do not propose to discuss the interesting figures which have been extracted from Mr. Booth’s excellent book upon ‘Poverty and Associated Conditions,’ because in such connection it has been shewn that theory and experience do not always agree with the results which may be deduced from such observations. Quote B: It is an admitted fact that the Polish Jew, like the Native of the South of Ireland, has a strong affection for his home, be it only a single room.</x:v>
      </x:c>
      <x:c r="H14" s="72" t="str">
        <x:v>The scan confirms ‘propose’; the candidate OCR has ‘proposo’. Historical spelling ‘shewn’ and original capitalisation are retained.</x:v>
      </x:c>
      <x:c r="I14" s="72" t="str">
        <x:v>Shows how explicit poverty discourse is qualified through a claim to local experience and then displaced into racialised cultural generalisation.</x:v>
      </x:c>
      <x:c r="J14" s="72" t="str">
        <x:v>https://wellcomelibrary.org/moh/report/b1801835x</x:v>
      </x:c>
      <x:c r="K14" s="72" t="str">
        <x:v>https://wellcomelibrary.org/moh/report/b1801835x/16#?c=0&amp;m=0&amp;s=0&amp;cv=16</x:v>
      </x:c>
      <x:c r="L14" s="77" t="str">
        <x:v>2026-08-05</x:v>
      </x:c>
    </x:row>
    <x:row r="15" ht="96" customHeight="1">
      <x:c r="A15" s="72" t="str">
        <x:v>1895_0010</x:v>
      </x:c>
      <x:c r="B15" s="72" t="str">
        <x:v>5.5</x:v>
      </x:c>
      <x:c r="C15" s="76" t="n">
        <x:v>1895</x:v>
      </x:c>
      <x:c r="D15" s="72" t="str">
        <x:v>6</x:v>
      </x:c>
      <x:c r="E15" s="72" t="str">
        <x:v>6</x:v>
      </x:c>
      <x:c r="F15" s="72" t="str">
        <x:v>Verified against original page image</x:v>
      </x:c>
      <x:c r="G15" s="72" t="str">
        <x:v>It is felt that shelters which are in themselves totally unsuitable for the purpose, and into which large numbers of the lowest class of persons are crowded, must influence very adversely the health of the District generally.</x:v>
      </x:c>
      <x:c r="H15" s="72" t="str">
        <x:v>Chosen sentence matches the scan. Numerous OCR errors occur elsewhere on the page (‘Beport’, ‘Tforks’, ‘davs’, ‘witli’); only the verified sentence is quotation-ready.</x:v>
      </x:c>
      <x:c r="I15" s="72" t="str">
        <x:v>A direct example of stigmatising class language embedded in an argument for stronger regulation of shelters.</x:v>
      </x:c>
      <x:c r="J15" s="72" t="str">
        <x:v>https://wellcomelibrary.org/moh/report/b19883687</x:v>
      </x:c>
      <x:c r="K15" s="72" t="str">
        <x:v>https://wellcomelibrary.org/moh/report/b19883687/5#?c=0&amp;m=0&amp;s=0&amp;cv=5</x:v>
      </x:c>
      <x:c r="L15" s="77" t="str">
        <x:v>2026-08-05</x:v>
      </x:c>
    </x:row>
    <x:row r="16" ht="96" customHeight="1">
      <x:c r="A16" s="72" t="str">
        <x:v>1899_0003</x:v>
      </x:c>
      <x:c r="B16" s="72" t="str">
        <x:v>5.5</x:v>
      </x:c>
      <x:c r="C16" s="76" t="n">
        <x:v>1899</x:v>
      </x:c>
      <x:c r="D16" s="72" t="str">
        <x:v>3–4</x:v>
      </x:c>
      <x:c r="E16" s="72" t="str">
        <x:v>3</x:v>
      </x:c>
      <x:c r="F16" s="72" t="str">
        <x:v>Verified against original page image</x:v>
      </x:c>
      <x:c r="G16" s="72" t="str">
        <x:v>The general result from a Public Health point of view of this increase in the Foreign population has been to call for much greater vigilance on the part of your Officers, for I am compelled to admit that neither the owners of houses in the Foreign portions of the District, nor the Tenants themselves, are inclined voluntarily to exert themselves to maintain their property in the best approved condition.</x:v>
      </x:c>
      <x:c r="H16" s="72" t="str">
        <x:v>Chosen sentence matches the scan and retains the report’s capitalisation. Candidate OCR ‘19OO’ and ‘Whiteohapel’ should read ‘1900’ and ‘Whitechapel’.</x:v>
      </x:c>
      <x:c r="I16" s="72" t="str">
        <x:v>Treat as official racialised and behavioural attribution, to be analysed critically rather than adopted as an explanation.</x:v>
      </x:c>
      <x:c r="J16" s="72" t="str">
        <x:v>https://wellcomelibrary.org/moh/report/b19883717</x:v>
      </x:c>
      <x:c r="K16" s="72" t="str">
        <x:v>https://wellcomelibrary.org/moh/report/b19883717/2#?c=0&amp;m=0&amp;s=0&amp;cv=2</x:v>
      </x:c>
      <x:c r="L16" s="77" t="str">
        <x:v>2026-08-05</x:v>
      </x:c>
    </x:row>
  </x:sheetData>
  <x:pageMargins left="0.7" right="0.7" top="0.75" bottom="0.75" header="0.3" footer="0.3"/>
  <x:tableParts count="1">
    <x:tablePart xmlns:r="http://schemas.openxmlformats.org/officeDocument/2006/relationships" r:id="R30af412f923c4fc4"/>
  </x:tableParts>
</x:worksheet>
</file>